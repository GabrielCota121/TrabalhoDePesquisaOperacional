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<sst xmlns="http://schemas.openxmlformats.org/spreadsheetml/2006/main" count="353" uniqueCount="66">
  <si>
    <t>Tabela 1 - Algorithm comparison results on small instances for 3 weighted wastes deploying 20 vehicles</t>
  </si>
  <si>
    <t>Tabela 3 - Algorithm comparison results on small instances for 3 non-weighted wastes deploying 20 vehicles.</t>
  </si>
  <si>
    <t>Gurobi</t>
  </si>
  <si>
    <t>GRASP-RVND ARTIGO</t>
  </si>
  <si>
    <t xml:space="preserve">GRASP REATIVO- VNS </t>
  </si>
  <si>
    <t>Instance</t>
  </si>
  <si>
    <t>obj</t>
  </si>
  <si>
    <t>t(s)</t>
  </si>
  <si>
    <t>gap(%)</t>
  </si>
  <si>
    <t>média</t>
  </si>
  <si>
    <t>DesvPad</t>
  </si>
  <si>
    <t>C101-10</t>
  </si>
  <si>
    <t>2053.45</t>
  </si>
  <si>
    <t>C102-10</t>
  </si>
  <si>
    <t>-</t>
  </si>
  <si>
    <t>C103-10</t>
  </si>
  <si>
    <t>R101-10</t>
  </si>
  <si>
    <t>R102-10</t>
  </si>
  <si>
    <t>R103-10</t>
  </si>
  <si>
    <t>RC101-10</t>
  </si>
  <si>
    <t>RC102-10</t>
  </si>
  <si>
    <t>RC103-10</t>
  </si>
  <si>
    <t>C101-15</t>
  </si>
  <si>
    <t>C102-15</t>
  </si>
  <si>
    <t>C103-15</t>
  </si>
  <si>
    <t>R101-15</t>
  </si>
  <si>
    <t>R102-15</t>
  </si>
  <si>
    <t>R103-15</t>
  </si>
  <si>
    <t>RC101-15</t>
  </si>
  <si>
    <t>RC102-15</t>
  </si>
  <si>
    <t>RC103-15</t>
  </si>
  <si>
    <t>C101-25</t>
  </si>
  <si>
    <t>C102-25</t>
  </si>
  <si>
    <t>C103-25</t>
  </si>
  <si>
    <t>R101-25</t>
  </si>
  <si>
    <t>R102-25</t>
  </si>
  <si>
    <t>R103-25</t>
  </si>
  <si>
    <t>RC101-25</t>
  </si>
  <si>
    <t>RC102-25</t>
  </si>
  <si>
    <t>RC103-25</t>
  </si>
  <si>
    <t>Tabela 2 -Algorithm comparison results on small instances for 2 weighted wastes deploying 20 vehicles.</t>
  </si>
  <si>
    <t>Tabela 4 - Algorithm comparison results on small instances for 2 non-weighted wastes deploying 20 vehicles.</t>
  </si>
  <si>
    <t>Tabela 5 - Algorithm comparison results on large instances for 3 weighted wastes deploying 20 vehicles</t>
  </si>
  <si>
    <t>Tabela 6 - Algorithm comparison results on large instances for 2 weighted wastes deploying 20 vehicles</t>
  </si>
  <si>
    <t>SO-TS ARTIGO</t>
  </si>
  <si>
    <t>C101-50</t>
  </si>
  <si>
    <t>C102-50</t>
  </si>
  <si>
    <t>C103-50</t>
  </si>
  <si>
    <t>R101-50</t>
  </si>
  <si>
    <t>R102-50</t>
  </si>
  <si>
    <t>18964,,96</t>
  </si>
  <si>
    <t>R103-50</t>
  </si>
  <si>
    <t>RC101-50</t>
  </si>
  <si>
    <t>RC102-50</t>
  </si>
  <si>
    <t>RC103-50</t>
  </si>
  <si>
    <t>C101-100</t>
  </si>
  <si>
    <t>C102-100</t>
  </si>
  <si>
    <t>C103-100</t>
  </si>
  <si>
    <t>R101-100</t>
  </si>
  <si>
    <t>R102-100</t>
  </si>
  <si>
    <t>R103-100</t>
  </si>
  <si>
    <t>RC101-100</t>
  </si>
  <si>
    <t>RC102-100</t>
  </si>
  <si>
    <t>RC103-100</t>
  </si>
  <si>
    <t>Tabela 7 - Algorithm comparison results on large instances for 3 non-weighted wastes deploying 20 vehicles.</t>
  </si>
  <si>
    <t>Tabela 8 - Algorithm comparison results on large instances for 2 non-weighted wastes deploying 20 vehicles.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</si>
</sst>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/>
    </xf>
    <xf borderId="2" fillId="0" fontId="1" numFmtId="0" xfId="0" applyBorder="1" applyFont="1"/>
    <xf borderId="1" fillId="0" fontId="3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L1" s="1" t="s">
        <v>1</v>
      </c>
    </row>
    <row r="2">
      <c r="A2" s="2"/>
      <c r="B2" s="3" t="s">
        <v>2</v>
      </c>
      <c r="C2" s="4"/>
      <c r="D2" s="5"/>
      <c r="E2" s="3" t="s">
        <v>3</v>
      </c>
      <c r="F2" s="4"/>
      <c r="G2" s="5"/>
      <c r="H2" s="3" t="s">
        <v>4</v>
      </c>
      <c r="I2" s="4"/>
      <c r="J2" s="5"/>
      <c r="L2" s="2"/>
      <c r="M2" s="3" t="s">
        <v>2</v>
      </c>
      <c r="N2" s="4"/>
      <c r="O2" s="5"/>
      <c r="P2" s="3" t="s">
        <v>3</v>
      </c>
      <c r="Q2" s="4"/>
      <c r="R2" s="5"/>
      <c r="S2" s="3" t="s">
        <v>4</v>
      </c>
      <c r="T2" s="4"/>
      <c r="U2" s="5"/>
    </row>
    <row r="3">
      <c r="A3" s="6" t="s">
        <v>5</v>
      </c>
      <c r="B3" s="7" t="s">
        <v>6</v>
      </c>
      <c r="C3" s="7" t="s">
        <v>7</v>
      </c>
      <c r="D3" s="7" t="s">
        <v>8</v>
      </c>
      <c r="E3" s="7" t="s">
        <v>6</v>
      </c>
      <c r="F3" s="7" t="s">
        <v>9</v>
      </c>
      <c r="G3" s="7" t="s">
        <v>10</v>
      </c>
      <c r="H3" s="7" t="s">
        <v>6</v>
      </c>
      <c r="I3" s="7" t="s">
        <v>9</v>
      </c>
      <c r="J3" s="7" t="s">
        <v>10</v>
      </c>
      <c r="L3" s="6" t="s">
        <v>5</v>
      </c>
      <c r="M3" s="7" t="s">
        <v>6</v>
      </c>
      <c r="N3" s="7" t="s">
        <v>7</v>
      </c>
      <c r="O3" s="7" t="s">
        <v>8</v>
      </c>
      <c r="P3" s="7" t="s">
        <v>6</v>
      </c>
      <c r="Q3" s="7" t="s">
        <v>9</v>
      </c>
      <c r="R3" s="7" t="s">
        <v>10</v>
      </c>
      <c r="S3" s="7" t="s">
        <v>6</v>
      </c>
      <c r="T3" s="7" t="s">
        <v>9</v>
      </c>
      <c r="U3" s="7" t="s">
        <v>10</v>
      </c>
    </row>
    <row r="4">
      <c r="A4" s="7" t="s">
        <v>11</v>
      </c>
      <c r="B4" s="1" t="s">
        <v>12</v>
      </c>
      <c r="C4" s="7">
        <v>3.74</v>
      </c>
      <c r="D4" s="7">
        <v>0.0</v>
      </c>
      <c r="E4" s="7">
        <v>2053.45</v>
      </c>
      <c r="F4" s="7">
        <v>2053.45</v>
      </c>
      <c r="G4" s="7">
        <v>0.0</v>
      </c>
      <c r="H4" s="7" t="s">
        <v>12</v>
      </c>
      <c r="I4" s="7">
        <v>2053.45</v>
      </c>
      <c r="J4" s="7">
        <v>0.0</v>
      </c>
      <c r="L4" s="7" t="s">
        <v>11</v>
      </c>
      <c r="M4" s="7">
        <v>745.36</v>
      </c>
      <c r="N4" s="7">
        <v>3.54</v>
      </c>
      <c r="O4" s="7">
        <v>0.0</v>
      </c>
      <c r="P4" s="7">
        <v>745.36</v>
      </c>
      <c r="Q4" s="7">
        <v>745.36</v>
      </c>
      <c r="R4" s="7">
        <v>0.0</v>
      </c>
      <c r="S4" s="7">
        <v>745.36</v>
      </c>
      <c r="T4" s="7">
        <v>745.36</v>
      </c>
      <c r="U4" s="7">
        <v>0.0</v>
      </c>
    </row>
    <row r="5">
      <c r="A5" s="7" t="s">
        <v>13</v>
      </c>
      <c r="B5" s="7">
        <v>2512.39</v>
      </c>
      <c r="C5" s="7">
        <v>29.08</v>
      </c>
      <c r="D5" s="7">
        <v>0.0</v>
      </c>
      <c r="E5" s="7">
        <v>2512.39</v>
      </c>
      <c r="F5" s="7">
        <v>2512.39</v>
      </c>
      <c r="G5" s="7">
        <v>0.0</v>
      </c>
      <c r="H5" s="7">
        <v>2512.39</v>
      </c>
      <c r="I5" s="7">
        <v>2512.39</v>
      </c>
      <c r="J5" s="7">
        <v>0.0</v>
      </c>
      <c r="L5" s="7" t="s">
        <v>13</v>
      </c>
      <c r="M5" s="8">
        <v>842.8</v>
      </c>
      <c r="N5" s="7" t="s">
        <v>14</v>
      </c>
      <c r="O5" s="7">
        <v>0.0</v>
      </c>
      <c r="P5" s="8">
        <v>842.8</v>
      </c>
      <c r="Q5" s="8">
        <v>842.8</v>
      </c>
      <c r="R5" s="7">
        <v>0.0</v>
      </c>
      <c r="S5" s="8">
        <v>842.8</v>
      </c>
      <c r="T5" s="8">
        <v>842.8</v>
      </c>
      <c r="U5" s="7">
        <v>0.0</v>
      </c>
    </row>
    <row r="6">
      <c r="A6" s="7" t="s">
        <v>15</v>
      </c>
      <c r="B6" s="7">
        <v>3005.03</v>
      </c>
      <c r="C6" s="7" t="s">
        <v>14</v>
      </c>
      <c r="D6" s="7">
        <v>0.0</v>
      </c>
      <c r="E6" s="7">
        <v>3005.03</v>
      </c>
      <c r="F6" s="7">
        <v>3005.03</v>
      </c>
      <c r="G6" s="7">
        <v>0.0</v>
      </c>
      <c r="H6" s="7">
        <v>3005.03</v>
      </c>
      <c r="I6" s="7">
        <v>3005.03</v>
      </c>
      <c r="J6" s="7">
        <v>0.0</v>
      </c>
      <c r="L6" s="7" t="s">
        <v>15</v>
      </c>
      <c r="M6" s="7">
        <v>959.78</v>
      </c>
      <c r="N6" s="7" t="s">
        <v>14</v>
      </c>
      <c r="O6" s="7">
        <v>0.0</v>
      </c>
      <c r="P6" s="7">
        <v>959.78</v>
      </c>
      <c r="Q6" s="7">
        <v>959.78</v>
      </c>
      <c r="R6" s="7">
        <v>0.0</v>
      </c>
      <c r="S6" s="7">
        <v>959.78</v>
      </c>
      <c r="T6" s="7">
        <v>959.78</v>
      </c>
      <c r="U6" s="7">
        <v>0.0</v>
      </c>
    </row>
    <row r="7">
      <c r="A7" s="9"/>
      <c r="B7" s="7">
        <v>2523.62</v>
      </c>
      <c r="C7" s="7">
        <v>627.36</v>
      </c>
      <c r="D7" s="7">
        <v>0.0</v>
      </c>
      <c r="E7" s="7">
        <v>2523.62</v>
      </c>
      <c r="F7" s="7">
        <v>2523.62</v>
      </c>
      <c r="G7" s="7"/>
      <c r="H7" s="7">
        <v>2523.62</v>
      </c>
      <c r="I7" s="7">
        <v>2523.62</v>
      </c>
      <c r="J7" s="7"/>
      <c r="L7" s="9"/>
      <c r="M7" s="10">
        <f>AVERAGE(M4:M6)</f>
        <v>849.3133333</v>
      </c>
      <c r="N7" s="8">
        <v>1810.17</v>
      </c>
      <c r="O7" s="10">
        <f t="shared" ref="O7:U7" si="1">AVERAGE(O4:O6)</f>
        <v>0</v>
      </c>
      <c r="P7" s="10">
        <f t="shared" si="1"/>
        <v>849.3133333</v>
      </c>
      <c r="Q7" s="10">
        <f t="shared" si="1"/>
        <v>849.3133333</v>
      </c>
      <c r="R7" s="10">
        <f t="shared" si="1"/>
        <v>0</v>
      </c>
      <c r="S7" s="10">
        <f t="shared" si="1"/>
        <v>849.3133333</v>
      </c>
      <c r="T7" s="10">
        <f t="shared" si="1"/>
        <v>849.3133333</v>
      </c>
      <c r="U7" s="10">
        <f t="shared" si="1"/>
        <v>0</v>
      </c>
    </row>
    <row r="8">
      <c r="A8" s="7" t="s">
        <v>16</v>
      </c>
      <c r="B8" s="8">
        <v>2070.3</v>
      </c>
      <c r="C8" s="7">
        <v>37.3</v>
      </c>
      <c r="D8" s="7">
        <v>0.0</v>
      </c>
      <c r="E8" s="8">
        <v>2070.3</v>
      </c>
      <c r="F8" s="8">
        <v>2070.3</v>
      </c>
      <c r="G8" s="7">
        <v>0.0</v>
      </c>
      <c r="H8" s="8">
        <v>2070.3</v>
      </c>
      <c r="I8" s="8">
        <v>2070.3</v>
      </c>
      <c r="J8" s="7">
        <v>0.0</v>
      </c>
      <c r="L8" s="7" t="s">
        <v>16</v>
      </c>
      <c r="M8" s="7">
        <v>468.28</v>
      </c>
      <c r="N8" s="7">
        <v>21.91</v>
      </c>
      <c r="O8" s="7">
        <v>0.0</v>
      </c>
      <c r="P8" s="7">
        <v>468.28</v>
      </c>
      <c r="Q8" s="7">
        <v>468.28</v>
      </c>
      <c r="R8" s="7">
        <v>0.0</v>
      </c>
      <c r="S8" s="7">
        <v>468.28</v>
      </c>
      <c r="T8" s="7">
        <v>468.28</v>
      </c>
      <c r="U8" s="7">
        <v>0.0</v>
      </c>
    </row>
    <row r="9">
      <c r="A9" s="7" t="s">
        <v>17</v>
      </c>
      <c r="B9" s="7">
        <v>2657.72</v>
      </c>
      <c r="C9" s="7" t="s">
        <v>14</v>
      </c>
      <c r="D9" s="7">
        <v>2.0</v>
      </c>
      <c r="E9" s="7">
        <v>2662.38</v>
      </c>
      <c r="F9" s="7">
        <v>2662.38</v>
      </c>
      <c r="G9" s="7">
        <v>0.0</v>
      </c>
      <c r="H9" s="7">
        <v>2662.38</v>
      </c>
      <c r="I9" s="7">
        <v>2662.38</v>
      </c>
      <c r="J9" s="7">
        <v>0.0</v>
      </c>
      <c r="L9" s="7" t="s">
        <v>17</v>
      </c>
      <c r="M9" s="7">
        <v>659.85</v>
      </c>
      <c r="N9" s="7" t="s">
        <v>14</v>
      </c>
      <c r="O9" s="7">
        <v>6.31</v>
      </c>
      <c r="P9" s="7">
        <v>659.85</v>
      </c>
      <c r="Q9" s="7">
        <v>659.85</v>
      </c>
      <c r="R9" s="7">
        <v>0.0</v>
      </c>
      <c r="S9" s="7">
        <v>659.85</v>
      </c>
      <c r="T9" s="7">
        <v>659.85</v>
      </c>
      <c r="U9" s="7">
        <v>0.0</v>
      </c>
    </row>
    <row r="10">
      <c r="A10" s="7" t="s">
        <v>18</v>
      </c>
      <c r="B10" s="7">
        <v>1876.64</v>
      </c>
      <c r="C10" s="7">
        <v>27.06</v>
      </c>
      <c r="D10" s="7">
        <v>0.0</v>
      </c>
      <c r="E10" s="7">
        <v>1876.64</v>
      </c>
      <c r="F10" s="7">
        <v>1876.64</v>
      </c>
      <c r="G10" s="7">
        <v>0.0</v>
      </c>
      <c r="H10" s="7">
        <v>1876.64</v>
      </c>
      <c r="I10" s="7">
        <v>1876.64</v>
      </c>
      <c r="J10" s="7">
        <v>0.0</v>
      </c>
      <c r="L10" s="7" t="s">
        <v>18</v>
      </c>
      <c r="M10" s="8">
        <v>517.0</v>
      </c>
      <c r="N10" s="7">
        <v>85.96</v>
      </c>
      <c r="O10" s="7">
        <v>0.0</v>
      </c>
      <c r="P10" s="8">
        <v>517.0</v>
      </c>
      <c r="Q10" s="8">
        <v>517.0</v>
      </c>
      <c r="R10" s="7">
        <v>0.0</v>
      </c>
      <c r="S10" s="8">
        <v>517.0</v>
      </c>
      <c r="T10" s="8">
        <v>517.0</v>
      </c>
      <c r="U10" s="7">
        <v>0.0</v>
      </c>
    </row>
    <row r="11">
      <c r="A11" s="9"/>
      <c r="B11" s="7">
        <v>2201.55</v>
      </c>
      <c r="C11" s="7">
        <v>1221.49</v>
      </c>
      <c r="D11" s="10">
        <f>D9/3</f>
        <v>0.6666666667</v>
      </c>
      <c r="E11" s="7">
        <v>2203.11</v>
      </c>
      <c r="F11" s="7">
        <v>2203.11</v>
      </c>
      <c r="G11" s="9"/>
      <c r="H11" s="7">
        <v>2203.11</v>
      </c>
      <c r="I11" s="7">
        <v>2203.11</v>
      </c>
      <c r="J11" s="9"/>
      <c r="L11" s="9"/>
      <c r="M11" s="10">
        <f>AVERAGE(M8:M10)</f>
        <v>548.3766667</v>
      </c>
      <c r="N11" s="8">
        <v>1902.71</v>
      </c>
      <c r="O11" s="10">
        <f t="shared" ref="O11:U11" si="2">AVERAGE(O8:O10)</f>
        <v>2.103333333</v>
      </c>
      <c r="P11" s="10">
        <f t="shared" si="2"/>
        <v>548.3766667</v>
      </c>
      <c r="Q11" s="10">
        <f t="shared" si="2"/>
        <v>548.3766667</v>
      </c>
      <c r="R11" s="10">
        <f t="shared" si="2"/>
        <v>0</v>
      </c>
      <c r="S11" s="10">
        <f t="shared" si="2"/>
        <v>548.3766667</v>
      </c>
      <c r="T11" s="10">
        <f t="shared" si="2"/>
        <v>548.3766667</v>
      </c>
      <c r="U11" s="10">
        <f t="shared" si="2"/>
        <v>0</v>
      </c>
    </row>
    <row r="12">
      <c r="A12" s="7" t="s">
        <v>19</v>
      </c>
      <c r="B12" s="7">
        <v>4374.14</v>
      </c>
      <c r="C12" s="7">
        <v>16.8</v>
      </c>
      <c r="D12" s="7">
        <v>0.0</v>
      </c>
      <c r="E12" s="7">
        <v>4374.14</v>
      </c>
      <c r="F12" s="7">
        <v>4374.14</v>
      </c>
      <c r="G12" s="7">
        <v>0.0</v>
      </c>
      <c r="H12" s="8">
        <v>4350.9</v>
      </c>
      <c r="I12" s="8">
        <v>4350.9</v>
      </c>
      <c r="J12" s="7">
        <v>0.0</v>
      </c>
      <c r="L12" s="7" t="s">
        <v>19</v>
      </c>
      <c r="M12" s="7">
        <v>1463.45</v>
      </c>
      <c r="N12" s="8">
        <v>107.1</v>
      </c>
      <c r="O12" s="7">
        <v>0.0</v>
      </c>
      <c r="P12" s="7">
        <v>1463.45</v>
      </c>
      <c r="Q12" s="7">
        <v>1463.45</v>
      </c>
      <c r="R12" s="7">
        <v>0.0</v>
      </c>
      <c r="S12" s="7">
        <v>1455.96</v>
      </c>
      <c r="T12" s="7">
        <v>1455.96</v>
      </c>
      <c r="U12" s="7">
        <v>0.0</v>
      </c>
    </row>
    <row r="13">
      <c r="A13" s="7" t="s">
        <v>20</v>
      </c>
      <c r="B13" s="7">
        <v>3251.52</v>
      </c>
      <c r="C13" s="7" t="s">
        <v>14</v>
      </c>
      <c r="D13" s="7">
        <v>0.0</v>
      </c>
      <c r="E13" s="7">
        <v>3251.52</v>
      </c>
      <c r="F13" s="7">
        <v>3251.52</v>
      </c>
      <c r="G13" s="7">
        <v>0.0</v>
      </c>
      <c r="H13" s="7">
        <v>3251.52</v>
      </c>
      <c r="I13" s="7">
        <v>3251.52</v>
      </c>
      <c r="J13" s="7">
        <v>0.0</v>
      </c>
      <c r="L13" s="7" t="s">
        <v>20</v>
      </c>
      <c r="M13" s="7">
        <v>1183.83</v>
      </c>
      <c r="N13" s="7" t="s">
        <v>14</v>
      </c>
      <c r="O13" s="7">
        <v>3.42</v>
      </c>
      <c r="P13" s="7">
        <v>1196.24</v>
      </c>
      <c r="Q13" s="7">
        <v>1193.11</v>
      </c>
      <c r="R13" s="7">
        <v>2.86</v>
      </c>
      <c r="S13" s="7">
        <v>1183.83</v>
      </c>
      <c r="T13" s="7">
        <v>1183.83</v>
      </c>
      <c r="U13" s="7">
        <v>0.0</v>
      </c>
    </row>
    <row r="14">
      <c r="A14" s="7" t="s">
        <v>21</v>
      </c>
      <c r="B14" s="7">
        <v>4559.43</v>
      </c>
      <c r="C14" s="7">
        <v>806.95</v>
      </c>
      <c r="D14" s="7">
        <v>0.0</v>
      </c>
      <c r="E14" s="7">
        <v>4559.43</v>
      </c>
      <c r="F14" s="7">
        <v>4559.43</v>
      </c>
      <c r="G14" s="7">
        <v>0.0</v>
      </c>
      <c r="H14" s="7">
        <v>4559.43</v>
      </c>
      <c r="I14" s="7">
        <v>4559.43</v>
      </c>
      <c r="J14" s="7">
        <v>0.0</v>
      </c>
      <c r="L14" s="7" t="s">
        <v>21</v>
      </c>
      <c r="M14" s="7">
        <v>1414.14</v>
      </c>
      <c r="N14" s="7" t="s">
        <v>14</v>
      </c>
      <c r="O14" s="7">
        <v>4.12</v>
      </c>
      <c r="P14" s="7">
        <v>1414.14</v>
      </c>
      <c r="Q14" s="7">
        <v>1414.14</v>
      </c>
      <c r="R14" s="7">
        <v>0.0</v>
      </c>
      <c r="S14" s="7">
        <v>1414.14</v>
      </c>
      <c r="T14" s="7">
        <v>1414.14</v>
      </c>
      <c r="U14" s="7">
        <v>0.0</v>
      </c>
    </row>
    <row r="15">
      <c r="A15" s="9"/>
      <c r="B15" s="8">
        <v>4061.7</v>
      </c>
      <c r="C15" s="7">
        <v>1049.96</v>
      </c>
      <c r="D15" s="7">
        <v>0.0</v>
      </c>
      <c r="E15" s="7">
        <v>4061.7</v>
      </c>
      <c r="F15" s="8">
        <v>4061.7</v>
      </c>
      <c r="G15" s="9"/>
      <c r="H15" s="7">
        <v>4053.95</v>
      </c>
      <c r="I15" s="7">
        <v>4053.95</v>
      </c>
      <c r="J15" s="9"/>
      <c r="L15" s="9"/>
      <c r="M15" s="10">
        <f>AVERAGE(M12:M14)</f>
        <v>1353.806667</v>
      </c>
      <c r="N15" s="8">
        <v>2569.02</v>
      </c>
      <c r="O15" s="10">
        <f t="shared" ref="O15:U15" si="3">AVERAGE(O12:O14)</f>
        <v>2.513333333</v>
      </c>
      <c r="P15" s="10">
        <f t="shared" si="3"/>
        <v>1357.943333</v>
      </c>
      <c r="Q15" s="10">
        <f t="shared" si="3"/>
        <v>1356.9</v>
      </c>
      <c r="R15" s="10">
        <f t="shared" si="3"/>
        <v>0.9533333333</v>
      </c>
      <c r="S15" s="10">
        <f t="shared" si="3"/>
        <v>1351.31</v>
      </c>
      <c r="T15" s="10">
        <f t="shared" si="3"/>
        <v>1351.31</v>
      </c>
      <c r="U15" s="10">
        <f t="shared" si="3"/>
        <v>0</v>
      </c>
    </row>
    <row r="16">
      <c r="A16" s="7" t="s">
        <v>22</v>
      </c>
      <c r="B16" s="7">
        <v>3474.67</v>
      </c>
      <c r="C16" s="7">
        <v>61.88</v>
      </c>
      <c r="D16" s="7">
        <v>0.0</v>
      </c>
      <c r="E16" s="7">
        <v>3474.67</v>
      </c>
      <c r="F16" s="7">
        <v>3474.67</v>
      </c>
      <c r="G16" s="7">
        <v>0.0</v>
      </c>
      <c r="H16" s="7">
        <v>3474.67</v>
      </c>
      <c r="I16" s="7">
        <v>3474.67</v>
      </c>
      <c r="J16" s="7">
        <v>0.0</v>
      </c>
      <c r="L16" s="7" t="s">
        <v>22</v>
      </c>
      <c r="M16" s="7">
        <v>1283.94</v>
      </c>
      <c r="N16" s="7">
        <v>43.52</v>
      </c>
      <c r="O16" s="7">
        <v>0.0</v>
      </c>
      <c r="P16" s="7">
        <v>1283.94</v>
      </c>
      <c r="Q16" s="7">
        <v>1283.94</v>
      </c>
      <c r="R16" s="7">
        <v>0.0</v>
      </c>
      <c r="S16" s="7">
        <v>1283.94</v>
      </c>
      <c r="T16" s="7">
        <v>1283.94</v>
      </c>
      <c r="U16" s="7">
        <v>0.0</v>
      </c>
    </row>
    <row r="17">
      <c r="A17" s="7" t="s">
        <v>23</v>
      </c>
      <c r="B17" s="7">
        <v>4940.29</v>
      </c>
      <c r="C17" s="7">
        <v>61.88</v>
      </c>
      <c r="D17" s="7">
        <v>0.0</v>
      </c>
      <c r="E17" s="7">
        <v>4940.29</v>
      </c>
      <c r="F17" s="7">
        <v>4940.29</v>
      </c>
      <c r="G17" s="7">
        <v>0.0</v>
      </c>
      <c r="H17" s="7">
        <v>4940.29</v>
      </c>
      <c r="I17" s="7">
        <v>4940.29</v>
      </c>
      <c r="J17" s="7">
        <v>0.0</v>
      </c>
      <c r="L17" s="7" t="s">
        <v>23</v>
      </c>
      <c r="M17" s="7">
        <v>1648.89</v>
      </c>
      <c r="N17" s="7" t="s">
        <v>14</v>
      </c>
      <c r="O17" s="7">
        <v>5.75</v>
      </c>
      <c r="P17" s="7">
        <v>1648.89</v>
      </c>
      <c r="Q17" s="7">
        <v>1648.89</v>
      </c>
      <c r="R17" s="7">
        <v>0.0</v>
      </c>
      <c r="S17" s="7">
        <v>1648.89</v>
      </c>
      <c r="T17" s="7">
        <v>1648.89</v>
      </c>
      <c r="U17" s="7">
        <v>0.0</v>
      </c>
    </row>
    <row r="18">
      <c r="A18" s="7" t="s">
        <v>24</v>
      </c>
      <c r="B18" s="7">
        <v>5112.12</v>
      </c>
      <c r="C18" s="7" t="s">
        <v>14</v>
      </c>
      <c r="D18" s="7">
        <v>3.57</v>
      </c>
      <c r="E18" s="7">
        <v>5112.12</v>
      </c>
      <c r="F18" s="7">
        <v>5110.7</v>
      </c>
      <c r="G18" s="7">
        <v>0.75</v>
      </c>
      <c r="H18" s="7">
        <v>5112.12</v>
      </c>
      <c r="I18" s="7">
        <v>5112.05</v>
      </c>
      <c r="J18" s="7">
        <v>0.5</v>
      </c>
      <c r="L18" s="7" t="s">
        <v>24</v>
      </c>
      <c r="M18" s="7">
        <v>1643.49</v>
      </c>
      <c r="N18" s="7" t="s">
        <v>14</v>
      </c>
      <c r="O18" s="7">
        <v>7.27</v>
      </c>
      <c r="P18" s="7">
        <v>1647.72</v>
      </c>
      <c r="Q18" s="7">
        <v>1647.19</v>
      </c>
      <c r="R18" s="7">
        <v>0.47</v>
      </c>
      <c r="S18" s="7">
        <v>1647.72</v>
      </c>
      <c r="T18" s="7">
        <v>1647.72</v>
      </c>
      <c r="U18" s="7">
        <v>0.0</v>
      </c>
    </row>
    <row r="19">
      <c r="A19" s="9"/>
      <c r="B19" s="7">
        <v>4509.03</v>
      </c>
      <c r="C19" s="7">
        <v>2420.67</v>
      </c>
      <c r="D19" s="9">
        <f>D18/3</f>
        <v>1.19</v>
      </c>
      <c r="E19" s="7">
        <v>4509.03</v>
      </c>
      <c r="F19" s="10">
        <f>AVERAGE(F16:F18)</f>
        <v>4508.553333</v>
      </c>
      <c r="G19" s="7">
        <v>0.25</v>
      </c>
      <c r="H19" s="7">
        <v>4509.03</v>
      </c>
      <c r="I19" s="10">
        <f>AVERAGE(I16:I18)</f>
        <v>4509.003333</v>
      </c>
      <c r="J19" s="10">
        <f>J18/3</f>
        <v>0.1666666667</v>
      </c>
      <c r="L19" s="9"/>
      <c r="M19" s="9">
        <f>AVERAGE(M16:M18)</f>
        <v>1525.44</v>
      </c>
      <c r="N19" s="8">
        <v>2014.9</v>
      </c>
      <c r="O19" s="9">
        <f t="shared" ref="O19:U19" si="4">AVERAGE(O16:O18)</f>
        <v>4.34</v>
      </c>
      <c r="P19" s="9">
        <f t="shared" si="4"/>
        <v>1526.85</v>
      </c>
      <c r="Q19" s="10">
        <f t="shared" si="4"/>
        <v>1526.673333</v>
      </c>
      <c r="R19" s="10">
        <f t="shared" si="4"/>
        <v>0.1566666667</v>
      </c>
      <c r="S19" s="9">
        <f t="shared" si="4"/>
        <v>1526.85</v>
      </c>
      <c r="T19" s="9">
        <f t="shared" si="4"/>
        <v>1526.85</v>
      </c>
      <c r="U19" s="9">
        <f t="shared" si="4"/>
        <v>0</v>
      </c>
    </row>
    <row r="20">
      <c r="A20" s="7" t="s">
        <v>25</v>
      </c>
      <c r="B20" s="7">
        <v>4115.0</v>
      </c>
      <c r="C20" s="7">
        <v>176.0</v>
      </c>
      <c r="D20" s="7">
        <v>0.0</v>
      </c>
      <c r="E20" s="7">
        <v>4115.0</v>
      </c>
      <c r="F20" s="7">
        <v>4115.0</v>
      </c>
      <c r="G20" s="7">
        <v>0.0</v>
      </c>
      <c r="H20" s="7">
        <v>4115.0</v>
      </c>
      <c r="I20" s="7">
        <v>4115.0</v>
      </c>
      <c r="J20" s="7">
        <v>0.0</v>
      </c>
      <c r="L20" s="7" t="s">
        <v>25</v>
      </c>
      <c r="M20" s="7">
        <v>997.77</v>
      </c>
      <c r="N20" s="7">
        <v>425.17</v>
      </c>
      <c r="O20" s="7">
        <v>0.0</v>
      </c>
      <c r="P20" s="7">
        <v>997.77</v>
      </c>
      <c r="Q20" s="7">
        <v>997.77</v>
      </c>
      <c r="R20" s="7">
        <v>0.0</v>
      </c>
      <c r="S20" s="7">
        <v>997.77</v>
      </c>
      <c r="T20" s="7">
        <v>997.77</v>
      </c>
      <c r="U20" s="7">
        <v>0.0</v>
      </c>
    </row>
    <row r="21">
      <c r="A21" s="7" t="s">
        <v>26</v>
      </c>
      <c r="B21" s="7">
        <v>5087.15</v>
      </c>
      <c r="C21" s="7" t="s">
        <v>14</v>
      </c>
      <c r="D21" s="7">
        <v>3.01</v>
      </c>
      <c r="E21" s="8">
        <v>5087.6</v>
      </c>
      <c r="F21" s="8">
        <v>5087.6</v>
      </c>
      <c r="G21" s="7">
        <v>0.0</v>
      </c>
      <c r="H21" s="8">
        <v>5087.6</v>
      </c>
      <c r="I21" s="8">
        <v>5087.6</v>
      </c>
      <c r="J21" s="7">
        <v>0.0</v>
      </c>
      <c r="L21" s="7" t="s">
        <v>26</v>
      </c>
      <c r="M21" s="7">
        <v>1406.22</v>
      </c>
      <c r="N21" s="7" t="s">
        <v>14</v>
      </c>
      <c r="O21" s="7">
        <v>9.07</v>
      </c>
      <c r="P21" s="7">
        <v>1406.22</v>
      </c>
      <c r="Q21" s="7">
        <v>1406.22</v>
      </c>
      <c r="R21" s="7">
        <v>0.0</v>
      </c>
      <c r="S21" s="7">
        <v>1406.22</v>
      </c>
      <c r="T21" s="7">
        <v>1406.22</v>
      </c>
      <c r="U21" s="7">
        <v>0.0</v>
      </c>
    </row>
    <row r="22">
      <c r="A22" s="7" t="s">
        <v>27</v>
      </c>
      <c r="B22" s="7">
        <v>3752.32</v>
      </c>
      <c r="C22" s="7" t="s">
        <v>14</v>
      </c>
      <c r="D22" s="7">
        <v>2.12</v>
      </c>
      <c r="E22" s="7">
        <v>3769.66</v>
      </c>
      <c r="F22" s="7">
        <v>3762.36</v>
      </c>
      <c r="G22" s="7">
        <v>8.02</v>
      </c>
      <c r="H22" s="7">
        <v>3752.32</v>
      </c>
      <c r="I22" s="7">
        <v>3752.32</v>
      </c>
      <c r="J22" s="7">
        <v>0.0</v>
      </c>
      <c r="L22" s="7" t="s">
        <v>27</v>
      </c>
      <c r="M22" s="7">
        <v>1113.53</v>
      </c>
      <c r="N22" s="7" t="s">
        <v>14</v>
      </c>
      <c r="O22" s="7">
        <v>6.65</v>
      </c>
      <c r="P22" s="7">
        <v>1113.53</v>
      </c>
      <c r="Q22" s="7">
        <v>1113.53</v>
      </c>
      <c r="R22" s="7">
        <v>0.0</v>
      </c>
      <c r="S22" s="7">
        <v>1113.53</v>
      </c>
      <c r="T22" s="7">
        <v>1113.53</v>
      </c>
      <c r="U22" s="7">
        <v>0.0</v>
      </c>
    </row>
    <row r="23">
      <c r="A23" s="9"/>
      <c r="B23" s="10">
        <f>AVERAGE(B20:B22)</f>
        <v>4318.156667</v>
      </c>
      <c r="C23" s="8">
        <v>2388.05</v>
      </c>
      <c r="D23" s="9">
        <f t="shared" ref="D23:J23" si="5">AVERAGE(D20:D22)</f>
        <v>1.71</v>
      </c>
      <c r="E23" s="10">
        <f t="shared" si="5"/>
        <v>4324.086667</v>
      </c>
      <c r="F23" s="10">
        <f t="shared" si="5"/>
        <v>4321.653333</v>
      </c>
      <c r="G23" s="10">
        <f t="shared" si="5"/>
        <v>2.673333333</v>
      </c>
      <c r="H23" s="10">
        <f t="shared" si="5"/>
        <v>4318.306667</v>
      </c>
      <c r="I23" s="10">
        <f t="shared" si="5"/>
        <v>4318.306667</v>
      </c>
      <c r="J23" s="10">
        <f t="shared" si="5"/>
        <v>0</v>
      </c>
      <c r="L23" s="9"/>
      <c r="M23" s="10">
        <f>AVERAGE(M20:M22)</f>
        <v>1172.506667</v>
      </c>
      <c r="N23" s="8">
        <v>2212.75</v>
      </c>
      <c r="O23" s="10">
        <f t="shared" ref="O23:U23" si="6">AVERAGE(O20:O22)</f>
        <v>5.24</v>
      </c>
      <c r="P23" s="10">
        <f t="shared" si="6"/>
        <v>1172.506667</v>
      </c>
      <c r="Q23" s="10">
        <f t="shared" si="6"/>
        <v>1172.506667</v>
      </c>
      <c r="R23" s="10">
        <f t="shared" si="6"/>
        <v>0</v>
      </c>
      <c r="S23" s="10">
        <f t="shared" si="6"/>
        <v>1172.506667</v>
      </c>
      <c r="T23" s="10">
        <f t="shared" si="6"/>
        <v>1172.506667</v>
      </c>
      <c r="U23" s="10">
        <f t="shared" si="6"/>
        <v>0</v>
      </c>
    </row>
    <row r="24">
      <c r="A24" s="7" t="s">
        <v>28</v>
      </c>
      <c r="B24" s="7">
        <v>6956.41</v>
      </c>
      <c r="C24" s="7">
        <v>379.78</v>
      </c>
      <c r="D24" s="7">
        <v>0.0</v>
      </c>
      <c r="E24" s="7">
        <v>6956.41</v>
      </c>
      <c r="F24" s="7">
        <v>6956.41</v>
      </c>
      <c r="G24" s="7">
        <v>0.0</v>
      </c>
      <c r="H24" s="7">
        <v>6897.17</v>
      </c>
      <c r="I24" s="7">
        <v>6897.17</v>
      </c>
      <c r="J24" s="7">
        <v>0.0</v>
      </c>
      <c r="L24" s="7" t="s">
        <v>28</v>
      </c>
      <c r="M24" s="7">
        <v>2291.63</v>
      </c>
      <c r="N24" s="7">
        <v>1116.61</v>
      </c>
      <c r="O24" s="7">
        <v>0.0</v>
      </c>
      <c r="P24" s="7">
        <v>2295.81</v>
      </c>
      <c r="Q24" s="7">
        <v>2295.81</v>
      </c>
      <c r="R24" s="7">
        <v>0.0</v>
      </c>
      <c r="S24" s="7">
        <v>2267.13</v>
      </c>
      <c r="T24" s="7">
        <v>2267.13</v>
      </c>
      <c r="U24" s="7">
        <v>0.0</v>
      </c>
    </row>
    <row r="25">
      <c r="A25" s="7" t="s">
        <v>29</v>
      </c>
      <c r="B25" s="7">
        <v>5527.23</v>
      </c>
      <c r="C25" s="7" t="s">
        <v>14</v>
      </c>
      <c r="D25" s="7">
        <v>2.69</v>
      </c>
      <c r="E25" s="8">
        <v>5087.6</v>
      </c>
      <c r="F25" s="7">
        <v>5087.6</v>
      </c>
      <c r="G25" s="7">
        <v>0.0</v>
      </c>
      <c r="H25" s="7">
        <v>5527.23</v>
      </c>
      <c r="I25" s="7">
        <v>5527.23</v>
      </c>
      <c r="J25" s="7">
        <v>0.0</v>
      </c>
      <c r="L25" s="7" t="s">
        <v>29</v>
      </c>
      <c r="M25" s="7">
        <v>1950.74</v>
      </c>
      <c r="N25" s="7" t="s">
        <v>14</v>
      </c>
      <c r="O25" s="7">
        <v>8.29</v>
      </c>
      <c r="P25" s="7">
        <v>1971.56</v>
      </c>
      <c r="Q25" s="7">
        <v>1971.56</v>
      </c>
      <c r="R25" s="7">
        <v>0.0</v>
      </c>
      <c r="S25" s="7">
        <v>1957.15</v>
      </c>
      <c r="T25" s="7">
        <v>1957.15</v>
      </c>
      <c r="U25" s="7">
        <v>0.0</v>
      </c>
    </row>
    <row r="26">
      <c r="A26" s="7" t="s">
        <v>30</v>
      </c>
      <c r="B26" s="7">
        <v>6865.99</v>
      </c>
      <c r="C26" s="7" t="s">
        <v>14</v>
      </c>
      <c r="D26" s="7">
        <v>1.74</v>
      </c>
      <c r="E26" s="7">
        <v>6877.93</v>
      </c>
      <c r="F26" s="9"/>
      <c r="G26" s="9"/>
      <c r="H26" s="7">
        <v>6876.76</v>
      </c>
      <c r="I26" s="7">
        <v>6876.76</v>
      </c>
      <c r="J26" s="7">
        <v>0.0</v>
      </c>
      <c r="L26" s="7" t="s">
        <v>30</v>
      </c>
      <c r="M26" s="7">
        <v>2282.09</v>
      </c>
      <c r="N26" s="7" t="s">
        <v>14</v>
      </c>
      <c r="O26" s="7">
        <v>6.99</v>
      </c>
      <c r="P26" s="7">
        <v>2285.78</v>
      </c>
      <c r="Q26" s="7">
        <v>2285.78</v>
      </c>
      <c r="R26" s="7">
        <v>0.0</v>
      </c>
      <c r="S26" s="7">
        <v>2285.34</v>
      </c>
      <c r="T26" s="7">
        <v>2285.34</v>
      </c>
      <c r="U26" s="7">
        <v>0.0</v>
      </c>
    </row>
    <row r="27">
      <c r="A27" s="2"/>
      <c r="B27" s="10">
        <f>AVERAGE(B24:B26)</f>
        <v>6449.876667</v>
      </c>
      <c r="C27" s="7">
        <v>2660.0</v>
      </c>
      <c r="D27" s="10">
        <f t="shared" ref="D27:J27" si="7">AVERAGE(D24:D26)</f>
        <v>1.476666667</v>
      </c>
      <c r="E27" s="10">
        <f t="shared" si="7"/>
        <v>6307.313333</v>
      </c>
      <c r="F27" s="10">
        <f t="shared" si="7"/>
        <v>6022.005</v>
      </c>
      <c r="G27" s="9">
        <f t="shared" si="7"/>
        <v>0</v>
      </c>
      <c r="H27" s="9">
        <f t="shared" si="7"/>
        <v>6433.72</v>
      </c>
      <c r="I27" s="9">
        <f t="shared" si="7"/>
        <v>6433.72</v>
      </c>
      <c r="J27" s="9">
        <f t="shared" si="7"/>
        <v>0</v>
      </c>
      <c r="L27" s="2"/>
      <c r="M27" s="9">
        <f>AVERAGE(M24:M26)</f>
        <v>2174.82</v>
      </c>
      <c r="N27" s="7">
        <v>2472.27</v>
      </c>
      <c r="O27" s="9">
        <f t="shared" ref="O27:U27" si="8">AVERAGE(O24:O26)</f>
        <v>5.093333333</v>
      </c>
      <c r="P27" s="9">
        <f t="shared" si="8"/>
        <v>2184.383333</v>
      </c>
      <c r="Q27" s="9">
        <f t="shared" si="8"/>
        <v>2184.383333</v>
      </c>
      <c r="R27" s="9">
        <f t="shared" si="8"/>
        <v>0</v>
      </c>
      <c r="S27" s="9">
        <f t="shared" si="8"/>
        <v>2169.873333</v>
      </c>
      <c r="T27" s="9">
        <f t="shared" si="8"/>
        <v>2169.873333</v>
      </c>
      <c r="U27" s="9">
        <f t="shared" si="8"/>
        <v>0</v>
      </c>
    </row>
    <row r="28">
      <c r="A28" s="7" t="s">
        <v>31</v>
      </c>
      <c r="B28" s="7">
        <v>6446.09</v>
      </c>
      <c r="C28" s="7" t="s">
        <v>14</v>
      </c>
      <c r="D28" s="7">
        <v>0.73</v>
      </c>
      <c r="E28" s="7">
        <v>6446.09</v>
      </c>
      <c r="F28" s="7">
        <v>6428.09</v>
      </c>
      <c r="G28" s="7">
        <v>0.45</v>
      </c>
      <c r="H28" s="7">
        <v>6446.09</v>
      </c>
      <c r="I28" s="7">
        <v>6446.09</v>
      </c>
      <c r="J28" s="7">
        <v>0.0</v>
      </c>
      <c r="L28" s="7" t="s">
        <v>31</v>
      </c>
      <c r="M28" s="7">
        <v>2321.37</v>
      </c>
      <c r="N28" s="7" t="s">
        <v>14</v>
      </c>
      <c r="O28" s="7">
        <v>3.49</v>
      </c>
      <c r="P28" s="7">
        <v>2297.04</v>
      </c>
      <c r="Q28" s="7">
        <v>2284.21</v>
      </c>
      <c r="R28" s="7">
        <v>1.12</v>
      </c>
      <c r="S28" s="7">
        <v>2321.37</v>
      </c>
      <c r="T28" s="7">
        <v>2311.93</v>
      </c>
      <c r="U28" s="7">
        <v>11.55</v>
      </c>
    </row>
    <row r="29">
      <c r="A29" s="7" t="s">
        <v>32</v>
      </c>
      <c r="B29" s="7">
        <v>8188.87</v>
      </c>
      <c r="C29" s="7" t="s">
        <v>14</v>
      </c>
      <c r="D29" s="7">
        <v>4.16</v>
      </c>
      <c r="E29" s="8">
        <v>8189.9</v>
      </c>
      <c r="F29" s="7">
        <v>8174.71</v>
      </c>
      <c r="G29" s="7">
        <v>8.49</v>
      </c>
      <c r="H29" s="7">
        <v>8189.92</v>
      </c>
      <c r="I29" s="7">
        <v>8189.92</v>
      </c>
      <c r="J29" s="7">
        <v>0.0</v>
      </c>
      <c r="L29" s="7" t="s">
        <v>32</v>
      </c>
      <c r="M29" s="8">
        <v>2726.0</v>
      </c>
      <c r="N29" s="7" t="s">
        <v>14</v>
      </c>
      <c r="O29" s="7">
        <v>11.37</v>
      </c>
      <c r="P29" s="7">
        <v>2756.98</v>
      </c>
      <c r="Q29" s="7">
        <v>2755.15</v>
      </c>
      <c r="R29" s="7">
        <v>1.02</v>
      </c>
      <c r="S29" s="7">
        <v>2759.29</v>
      </c>
      <c r="T29" s="7">
        <v>2754.56</v>
      </c>
      <c r="U29" s="7">
        <v>5.46</v>
      </c>
    </row>
    <row r="30">
      <c r="A30" s="7" t="s">
        <v>33</v>
      </c>
      <c r="B30" s="7">
        <v>8531.18</v>
      </c>
      <c r="C30" s="7" t="s">
        <v>14</v>
      </c>
      <c r="D30" s="7">
        <v>5.76</v>
      </c>
      <c r="E30" s="7">
        <v>8551.54</v>
      </c>
      <c r="F30" s="7">
        <v>8550.95</v>
      </c>
      <c r="G30" s="7">
        <v>1.33</v>
      </c>
      <c r="H30" s="7">
        <v>8551.74</v>
      </c>
      <c r="I30" s="7">
        <v>8538.75</v>
      </c>
      <c r="J30" s="7">
        <v>14.66</v>
      </c>
      <c r="L30" s="7" t="s">
        <v>33</v>
      </c>
      <c r="M30" s="7">
        <v>2705.54</v>
      </c>
      <c r="N30" s="7" t="s">
        <v>14</v>
      </c>
      <c r="O30" s="7">
        <v>13.72</v>
      </c>
      <c r="P30" s="7">
        <v>2739.16</v>
      </c>
      <c r="Q30" s="7">
        <v>2738.69</v>
      </c>
      <c r="R30" s="7">
        <v>0.43</v>
      </c>
      <c r="S30" s="8">
        <v>2750.8</v>
      </c>
      <c r="T30" s="7">
        <v>2739.14</v>
      </c>
      <c r="U30" s="7">
        <v>11.38</v>
      </c>
    </row>
    <row r="31">
      <c r="A31" s="9"/>
      <c r="B31" s="10">
        <f>AVERAGE(B28:B30)</f>
        <v>7722.046667</v>
      </c>
      <c r="C31" s="11">
        <v>3600.0</v>
      </c>
      <c r="D31" s="10">
        <f t="shared" ref="D31:J31" si="9">AVERAGE(D28:D30)</f>
        <v>3.55</v>
      </c>
      <c r="E31" s="10">
        <f t="shared" si="9"/>
        <v>7729.176667</v>
      </c>
      <c r="F31" s="10">
        <f t="shared" si="9"/>
        <v>7717.916667</v>
      </c>
      <c r="G31" s="10">
        <f t="shared" si="9"/>
        <v>3.423333333</v>
      </c>
      <c r="H31" s="10">
        <f t="shared" si="9"/>
        <v>7729.25</v>
      </c>
      <c r="I31" s="10">
        <f t="shared" si="9"/>
        <v>7724.92</v>
      </c>
      <c r="J31" s="10">
        <f t="shared" si="9"/>
        <v>4.886666667</v>
      </c>
      <c r="L31" s="9"/>
      <c r="M31" s="10">
        <f>AVERAGE(M28:M30)</f>
        <v>2584.303333</v>
      </c>
      <c r="N31" s="8">
        <v>3600.0</v>
      </c>
      <c r="O31" s="10">
        <f t="shared" ref="O31:U31" si="10">AVERAGE(O28:O30)</f>
        <v>9.526666667</v>
      </c>
      <c r="P31" s="10">
        <f t="shared" si="10"/>
        <v>2597.726667</v>
      </c>
      <c r="Q31" s="10">
        <f t="shared" si="10"/>
        <v>2592.683333</v>
      </c>
      <c r="R31" s="10">
        <f t="shared" si="10"/>
        <v>0.8566666667</v>
      </c>
      <c r="S31" s="10">
        <f t="shared" si="10"/>
        <v>2610.486667</v>
      </c>
      <c r="T31" s="10">
        <f t="shared" si="10"/>
        <v>2601.876667</v>
      </c>
      <c r="U31" s="10">
        <f t="shared" si="10"/>
        <v>9.463333333</v>
      </c>
    </row>
    <row r="32">
      <c r="A32" s="7" t="s">
        <v>34</v>
      </c>
      <c r="B32" s="7">
        <v>6745.33</v>
      </c>
      <c r="C32" s="7" t="s">
        <v>14</v>
      </c>
      <c r="D32" s="7">
        <v>5.66</v>
      </c>
      <c r="E32" s="7">
        <v>6745.33</v>
      </c>
      <c r="F32" s="7">
        <v>6745.33</v>
      </c>
      <c r="G32" s="7">
        <v>0.0</v>
      </c>
      <c r="H32" s="7">
        <v>6741.33</v>
      </c>
      <c r="I32" s="7">
        <v>6741.33</v>
      </c>
      <c r="J32" s="7">
        <v>0.0</v>
      </c>
      <c r="L32" s="7" t="s">
        <v>34</v>
      </c>
      <c r="M32" s="7">
        <v>1934.86</v>
      </c>
      <c r="N32" s="7" t="s">
        <v>14</v>
      </c>
      <c r="O32" s="7">
        <v>4.77</v>
      </c>
      <c r="P32" s="7">
        <v>1934.86</v>
      </c>
      <c r="Q32" s="7">
        <v>1931.95</v>
      </c>
      <c r="R32" s="7">
        <v>4.04</v>
      </c>
      <c r="S32" s="7">
        <v>1932.86</v>
      </c>
      <c r="T32" s="7">
        <v>1932.86</v>
      </c>
      <c r="U32" s="7">
        <v>0.0</v>
      </c>
    </row>
    <row r="33">
      <c r="A33" s="7" t="s">
        <v>35</v>
      </c>
      <c r="B33" s="7">
        <v>9791.79</v>
      </c>
      <c r="C33" s="7" t="s">
        <v>14</v>
      </c>
      <c r="D33" s="7">
        <v>8.69</v>
      </c>
      <c r="E33" s="7">
        <v>9853.03</v>
      </c>
      <c r="F33" s="7">
        <v>9845.8</v>
      </c>
      <c r="G33" s="7">
        <v>11.55</v>
      </c>
      <c r="H33" s="7">
        <v>9843.87</v>
      </c>
      <c r="I33" s="7">
        <v>9843.21</v>
      </c>
      <c r="J33" s="7">
        <v>1.32</v>
      </c>
      <c r="L33" s="7" t="s">
        <v>35</v>
      </c>
      <c r="M33" s="7">
        <v>2951.87</v>
      </c>
      <c r="N33" s="7" t="s">
        <v>14</v>
      </c>
      <c r="O33" s="7">
        <v>9.26</v>
      </c>
      <c r="P33" s="7">
        <v>2947.75</v>
      </c>
      <c r="Q33" s="7">
        <v>2939.73</v>
      </c>
      <c r="R33" s="7">
        <v>5.07</v>
      </c>
      <c r="S33" s="7">
        <v>2940.87</v>
      </c>
      <c r="T33" s="7">
        <v>2937.04</v>
      </c>
      <c r="U33" s="7">
        <v>0.77</v>
      </c>
    </row>
    <row r="34">
      <c r="A34" s="7" t="s">
        <v>36</v>
      </c>
      <c r="B34" s="7">
        <v>7886.25</v>
      </c>
      <c r="C34" s="7" t="s">
        <v>14</v>
      </c>
      <c r="D34" s="7">
        <v>6.67</v>
      </c>
      <c r="E34" s="7">
        <v>7879.17</v>
      </c>
      <c r="F34" s="7">
        <v>7879.17</v>
      </c>
      <c r="G34" s="7">
        <v>0.0</v>
      </c>
      <c r="H34" s="7">
        <v>7886.25</v>
      </c>
      <c r="I34" s="7">
        <v>7886.25</v>
      </c>
      <c r="J34" s="7">
        <v>0.0</v>
      </c>
      <c r="L34" s="7" t="s">
        <v>36</v>
      </c>
      <c r="M34" s="7">
        <v>2446.07</v>
      </c>
      <c r="N34" s="7" t="s">
        <v>14</v>
      </c>
      <c r="O34" s="7">
        <v>19.47</v>
      </c>
      <c r="P34" s="7">
        <v>2559.08</v>
      </c>
      <c r="Q34" s="7">
        <v>2555.24</v>
      </c>
      <c r="R34" s="7">
        <v>2.96</v>
      </c>
      <c r="S34" s="7">
        <v>2553.87</v>
      </c>
      <c r="T34" s="7">
        <v>2553.87</v>
      </c>
      <c r="U34" s="7">
        <v>0.0</v>
      </c>
    </row>
    <row r="35">
      <c r="A35" s="9"/>
      <c r="B35" s="10">
        <f>AVERAGE(B32:B34)</f>
        <v>8141.123333</v>
      </c>
      <c r="C35" s="11">
        <v>3600.0</v>
      </c>
      <c r="D35" s="10">
        <f t="shared" ref="D35:J35" si="11">AVERAGE(D32:D34)</f>
        <v>7.006666667</v>
      </c>
      <c r="E35" s="10">
        <f t="shared" si="11"/>
        <v>8159.176667</v>
      </c>
      <c r="F35" s="10">
        <f t="shared" si="11"/>
        <v>8156.766667</v>
      </c>
      <c r="G35" s="10">
        <f t="shared" si="11"/>
        <v>3.85</v>
      </c>
      <c r="H35" s="10">
        <f t="shared" si="11"/>
        <v>8157.15</v>
      </c>
      <c r="I35" s="10">
        <f t="shared" si="11"/>
        <v>8156.93</v>
      </c>
      <c r="J35" s="10">
        <f t="shared" si="11"/>
        <v>0.44</v>
      </c>
      <c r="L35" s="9"/>
      <c r="M35" s="10">
        <f>AVERAGE(M32:M34)</f>
        <v>2444.266667</v>
      </c>
      <c r="N35" s="8">
        <v>3600.0</v>
      </c>
      <c r="O35" s="10">
        <f t="shared" ref="O35:U35" si="12">AVERAGE(O32:O34)</f>
        <v>11.16666667</v>
      </c>
      <c r="P35" s="10">
        <f t="shared" si="12"/>
        <v>2480.563333</v>
      </c>
      <c r="Q35" s="10">
        <f t="shared" si="12"/>
        <v>2475.64</v>
      </c>
      <c r="R35" s="10">
        <f t="shared" si="12"/>
        <v>4.023333333</v>
      </c>
      <c r="S35" s="10">
        <f t="shared" si="12"/>
        <v>2475.866667</v>
      </c>
      <c r="T35" s="10">
        <f t="shared" si="12"/>
        <v>2474.59</v>
      </c>
      <c r="U35" s="10">
        <f t="shared" si="12"/>
        <v>0.2566666667</v>
      </c>
    </row>
    <row r="36">
      <c r="A36" s="7" t="s">
        <v>37</v>
      </c>
      <c r="B36" s="7">
        <v>11306.27</v>
      </c>
      <c r="C36" s="7" t="s">
        <v>14</v>
      </c>
      <c r="D36" s="7">
        <v>5.19</v>
      </c>
      <c r="E36" s="7">
        <v>11317.3</v>
      </c>
      <c r="F36" s="7">
        <v>11293.84</v>
      </c>
      <c r="G36" s="7">
        <v>11.55</v>
      </c>
      <c r="H36" s="7">
        <v>11204.11</v>
      </c>
      <c r="I36" s="7">
        <v>11192.27</v>
      </c>
      <c r="J36" s="7">
        <v>23.68</v>
      </c>
      <c r="L36" s="7" t="s">
        <v>37</v>
      </c>
      <c r="M36" s="7">
        <v>3773.26</v>
      </c>
      <c r="N36" s="7" t="s">
        <v>14</v>
      </c>
      <c r="O36" s="7">
        <v>9.02</v>
      </c>
      <c r="P36" s="7">
        <v>3781.92</v>
      </c>
      <c r="Q36" s="7">
        <v>3781.92</v>
      </c>
      <c r="R36" s="7">
        <v>0.0</v>
      </c>
      <c r="S36" s="7">
        <v>3749.95</v>
      </c>
      <c r="T36" s="7">
        <v>3749.95</v>
      </c>
      <c r="U36" s="7">
        <v>0.0</v>
      </c>
    </row>
    <row r="37">
      <c r="A37" s="7" t="s">
        <v>38</v>
      </c>
      <c r="B37" s="7">
        <v>10483.93</v>
      </c>
      <c r="C37" s="7" t="s">
        <v>14</v>
      </c>
      <c r="D37" s="7">
        <v>4.38</v>
      </c>
      <c r="E37" s="7">
        <v>10518.1</v>
      </c>
      <c r="F37" s="7">
        <v>10518.1</v>
      </c>
      <c r="G37" s="7">
        <v>0.0</v>
      </c>
      <c r="H37" s="7">
        <v>10498.35</v>
      </c>
      <c r="I37" s="7">
        <v>10498.35</v>
      </c>
      <c r="J37" s="7">
        <v>0.0</v>
      </c>
      <c r="L37" s="7" t="s">
        <v>38</v>
      </c>
      <c r="M37" s="7">
        <v>3456.64</v>
      </c>
      <c r="N37" s="7" t="s">
        <v>14</v>
      </c>
      <c r="O37" s="7">
        <v>9.26</v>
      </c>
      <c r="P37" s="7">
        <v>3577.49</v>
      </c>
      <c r="Q37" s="7">
        <v>3577.49</v>
      </c>
      <c r="R37" s="7">
        <v>0.0</v>
      </c>
      <c r="S37" s="7">
        <v>3549.71</v>
      </c>
      <c r="T37" s="7">
        <v>3549.71</v>
      </c>
      <c r="U37" s="7">
        <v>0.0</v>
      </c>
    </row>
    <row r="38">
      <c r="A38" s="7" t="s">
        <v>39</v>
      </c>
      <c r="B38" s="7">
        <v>13611.69</v>
      </c>
      <c r="C38" s="7" t="s">
        <v>14</v>
      </c>
      <c r="D38" s="7">
        <v>4.82</v>
      </c>
      <c r="E38" s="7">
        <v>13690.8</v>
      </c>
      <c r="F38" s="7">
        <v>13690.8</v>
      </c>
      <c r="G38" s="7">
        <v>0.0</v>
      </c>
      <c r="H38" s="7">
        <v>13621.84</v>
      </c>
      <c r="I38" s="7">
        <v>13621.84</v>
      </c>
      <c r="J38" s="7">
        <v>0.0</v>
      </c>
      <c r="L38" s="7" t="s">
        <v>39</v>
      </c>
      <c r="M38" s="7">
        <v>4301.81</v>
      </c>
      <c r="N38" s="7" t="s">
        <v>14</v>
      </c>
      <c r="O38" s="8">
        <v>10.5</v>
      </c>
      <c r="P38" s="7">
        <v>4350.13</v>
      </c>
      <c r="Q38" s="7">
        <v>4350.13</v>
      </c>
      <c r="R38" s="7">
        <v>0.0</v>
      </c>
      <c r="S38" s="8">
        <v>4326.9</v>
      </c>
      <c r="T38" s="8">
        <v>4326.9</v>
      </c>
      <c r="U38" s="7">
        <v>0.0</v>
      </c>
    </row>
    <row r="39">
      <c r="A39" s="2"/>
      <c r="B39" s="9">
        <f>AVERAGE(B36:B38)</f>
        <v>11800.63</v>
      </c>
      <c r="C39" s="7">
        <v>3600.0</v>
      </c>
      <c r="D39" s="10">
        <f t="shared" ref="D39:J39" si="13">AVERAGE(D36:D38)</f>
        <v>4.796666667</v>
      </c>
      <c r="E39" s="10">
        <f t="shared" si="13"/>
        <v>11842.06667</v>
      </c>
      <c r="F39" s="10">
        <f t="shared" si="13"/>
        <v>11834.24667</v>
      </c>
      <c r="G39" s="10">
        <f t="shared" si="13"/>
        <v>3.85</v>
      </c>
      <c r="H39" s="10">
        <f t="shared" si="13"/>
        <v>11774.76667</v>
      </c>
      <c r="I39" s="10">
        <f t="shared" si="13"/>
        <v>11770.82</v>
      </c>
      <c r="J39" s="10">
        <f t="shared" si="13"/>
        <v>7.893333333</v>
      </c>
      <c r="L39" s="2"/>
      <c r="M39" s="10">
        <f>AVERAGE(M36:M38)</f>
        <v>3843.903333</v>
      </c>
      <c r="N39" s="8">
        <v>3600.0</v>
      </c>
      <c r="O39" s="10">
        <f t="shared" ref="O39:U39" si="14">AVERAGE(O36:O38)</f>
        <v>9.593333333</v>
      </c>
      <c r="P39" s="10">
        <f t="shared" si="14"/>
        <v>3903.18</v>
      </c>
      <c r="Q39" s="10">
        <f t="shared" si="14"/>
        <v>3903.18</v>
      </c>
      <c r="R39" s="10">
        <f t="shared" si="14"/>
        <v>0</v>
      </c>
      <c r="S39" s="10">
        <f t="shared" si="14"/>
        <v>3875.52</v>
      </c>
      <c r="T39" s="10">
        <f t="shared" si="14"/>
        <v>3875.52</v>
      </c>
      <c r="U39" s="10">
        <f t="shared" si="14"/>
        <v>0</v>
      </c>
    </row>
    <row r="41">
      <c r="A41" s="3" t="s">
        <v>40</v>
      </c>
      <c r="B41" s="4"/>
      <c r="C41" s="4"/>
      <c r="D41" s="4"/>
      <c r="E41" s="4"/>
      <c r="F41" s="4"/>
      <c r="G41" s="4"/>
      <c r="H41" s="4"/>
      <c r="I41" s="4"/>
      <c r="J41" s="5"/>
    </row>
    <row r="42">
      <c r="A42" s="2"/>
      <c r="B42" s="3" t="s">
        <v>2</v>
      </c>
      <c r="C42" s="4"/>
      <c r="D42" s="5"/>
      <c r="E42" s="3" t="s">
        <v>3</v>
      </c>
      <c r="F42" s="4"/>
      <c r="G42" s="5"/>
      <c r="H42" s="3" t="s">
        <v>4</v>
      </c>
      <c r="I42" s="4"/>
      <c r="J42" s="5"/>
      <c r="L42" s="3" t="s">
        <v>41</v>
      </c>
      <c r="M42" s="4"/>
      <c r="N42" s="4"/>
      <c r="O42" s="4"/>
      <c r="P42" s="4"/>
      <c r="Q42" s="4"/>
      <c r="R42" s="4"/>
      <c r="S42" s="4"/>
      <c r="T42" s="4"/>
      <c r="U42" s="5"/>
    </row>
    <row r="43">
      <c r="A43" s="6" t="s">
        <v>5</v>
      </c>
      <c r="B43" s="7" t="s">
        <v>6</v>
      </c>
      <c r="C43" s="7" t="s">
        <v>7</v>
      </c>
      <c r="D43" s="7" t="s">
        <v>8</v>
      </c>
      <c r="E43" s="7" t="s">
        <v>6</v>
      </c>
      <c r="F43" s="7" t="s">
        <v>9</v>
      </c>
      <c r="G43" s="7" t="s">
        <v>10</v>
      </c>
      <c r="H43" s="7" t="s">
        <v>6</v>
      </c>
      <c r="I43" s="7" t="s">
        <v>9</v>
      </c>
      <c r="J43" s="7" t="s">
        <v>10</v>
      </c>
      <c r="L43" s="2"/>
      <c r="M43" s="3" t="s">
        <v>2</v>
      </c>
      <c r="N43" s="4"/>
      <c r="O43" s="5"/>
      <c r="P43" s="3" t="s">
        <v>3</v>
      </c>
      <c r="Q43" s="4"/>
      <c r="R43" s="5"/>
      <c r="S43" s="3" t="s">
        <v>4</v>
      </c>
      <c r="T43" s="4"/>
      <c r="U43" s="5"/>
    </row>
    <row r="44">
      <c r="A44" s="7" t="s">
        <v>11</v>
      </c>
      <c r="B44" s="7">
        <v>789.75</v>
      </c>
      <c r="C44" s="7">
        <v>1.38</v>
      </c>
      <c r="D44" s="7">
        <v>0.0</v>
      </c>
      <c r="E44" s="7">
        <v>789.75</v>
      </c>
      <c r="F44" s="7">
        <v>789.75</v>
      </c>
      <c r="G44" s="7">
        <v>0.0</v>
      </c>
      <c r="H44" s="7">
        <v>789.75</v>
      </c>
      <c r="I44" s="7">
        <v>789.75</v>
      </c>
      <c r="J44" s="7">
        <v>0.0</v>
      </c>
      <c r="L44" s="6" t="s">
        <v>5</v>
      </c>
      <c r="M44" s="7" t="s">
        <v>6</v>
      </c>
      <c r="N44" s="7" t="s">
        <v>7</v>
      </c>
      <c r="O44" s="7" t="s">
        <v>8</v>
      </c>
      <c r="P44" s="7" t="s">
        <v>6</v>
      </c>
      <c r="Q44" s="7" t="s">
        <v>9</v>
      </c>
      <c r="R44" s="7" t="s">
        <v>10</v>
      </c>
      <c r="S44" s="7" t="s">
        <v>6</v>
      </c>
      <c r="T44" s="7" t="s">
        <v>9</v>
      </c>
      <c r="U44" s="7" t="s">
        <v>10</v>
      </c>
    </row>
    <row r="45">
      <c r="A45" s="7" t="s">
        <v>13</v>
      </c>
      <c r="B45" s="7">
        <v>785.01</v>
      </c>
      <c r="C45" s="7">
        <v>7.59</v>
      </c>
      <c r="D45" s="7">
        <v>0.0</v>
      </c>
      <c r="E45" s="7">
        <v>785.01</v>
      </c>
      <c r="F45" s="7">
        <v>785.01</v>
      </c>
      <c r="G45" s="7">
        <v>0.0</v>
      </c>
      <c r="H45" s="7">
        <v>785.01</v>
      </c>
      <c r="I45" s="7">
        <v>785.01</v>
      </c>
      <c r="J45" s="7">
        <v>0.0</v>
      </c>
      <c r="L45" s="7" t="s">
        <v>11</v>
      </c>
      <c r="M45" s="7">
        <v>532.51</v>
      </c>
      <c r="N45" s="7">
        <v>1.24</v>
      </c>
      <c r="O45" s="7">
        <v>0.0</v>
      </c>
      <c r="P45" s="7">
        <v>532.51</v>
      </c>
      <c r="Q45" s="7">
        <v>532.51</v>
      </c>
      <c r="R45" s="7">
        <v>0.0</v>
      </c>
      <c r="S45" s="7">
        <v>532.51</v>
      </c>
      <c r="T45" s="7">
        <v>532.51</v>
      </c>
      <c r="U45" s="7">
        <v>0.0</v>
      </c>
    </row>
    <row r="46">
      <c r="A46" s="7" t="s">
        <v>15</v>
      </c>
      <c r="B46" s="8">
        <v>978.9</v>
      </c>
      <c r="C46" s="7">
        <v>21.15</v>
      </c>
      <c r="D46" s="7">
        <v>0.0</v>
      </c>
      <c r="E46" s="8">
        <v>978.9</v>
      </c>
      <c r="F46" s="8">
        <v>978.9</v>
      </c>
      <c r="G46" s="7">
        <v>0.0</v>
      </c>
      <c r="H46" s="8">
        <v>978.9</v>
      </c>
      <c r="I46" s="8">
        <v>978.9</v>
      </c>
      <c r="J46" s="7">
        <v>0.0</v>
      </c>
      <c r="L46" s="7" t="s">
        <v>13</v>
      </c>
      <c r="M46" s="7">
        <v>540.06</v>
      </c>
      <c r="N46" s="8">
        <v>10.7</v>
      </c>
      <c r="O46" s="7">
        <v>0.0</v>
      </c>
      <c r="P46" s="7">
        <v>540.06</v>
      </c>
      <c r="Q46" s="7">
        <v>540.06</v>
      </c>
      <c r="R46" s="7">
        <v>0.0</v>
      </c>
      <c r="S46" s="7">
        <v>540.06</v>
      </c>
      <c r="T46" s="7">
        <v>540.06</v>
      </c>
      <c r="U46" s="7">
        <v>0.0</v>
      </c>
    </row>
    <row r="47">
      <c r="A47" s="9"/>
      <c r="B47" s="9">
        <f t="shared" ref="B47:J47" si="15">AVERAGE(B44:B46)</f>
        <v>851.22</v>
      </c>
      <c r="C47" s="9">
        <f t="shared" si="15"/>
        <v>10.04</v>
      </c>
      <c r="D47" s="9">
        <f t="shared" si="15"/>
        <v>0</v>
      </c>
      <c r="E47" s="9">
        <f t="shared" si="15"/>
        <v>851.22</v>
      </c>
      <c r="F47" s="9">
        <f t="shared" si="15"/>
        <v>851.22</v>
      </c>
      <c r="G47" s="9">
        <f t="shared" si="15"/>
        <v>0</v>
      </c>
      <c r="H47" s="9">
        <f t="shared" si="15"/>
        <v>851.22</v>
      </c>
      <c r="I47" s="9">
        <f t="shared" si="15"/>
        <v>851.22</v>
      </c>
      <c r="J47" s="9">
        <f t="shared" si="15"/>
        <v>0</v>
      </c>
      <c r="L47" s="7" t="s">
        <v>15</v>
      </c>
      <c r="M47" s="7">
        <v>662.72</v>
      </c>
      <c r="N47" s="7">
        <v>39.71</v>
      </c>
      <c r="O47" s="7">
        <v>0.0</v>
      </c>
      <c r="P47" s="7">
        <v>662.72</v>
      </c>
      <c r="Q47" s="7">
        <v>662.72</v>
      </c>
      <c r="R47" s="7">
        <v>0.0</v>
      </c>
      <c r="S47" s="7">
        <v>662.72</v>
      </c>
      <c r="T47" s="7">
        <v>662.72</v>
      </c>
      <c r="U47" s="7">
        <v>0.0</v>
      </c>
    </row>
    <row r="48">
      <c r="A48" s="7" t="s">
        <v>16</v>
      </c>
      <c r="B48" s="7">
        <v>523.95</v>
      </c>
      <c r="C48" s="7">
        <v>9.12</v>
      </c>
      <c r="D48" s="7">
        <v>0.0</v>
      </c>
      <c r="E48" s="7">
        <v>523.95</v>
      </c>
      <c r="F48" s="7">
        <v>523.95</v>
      </c>
      <c r="G48" s="7">
        <v>0.0</v>
      </c>
      <c r="H48" s="7">
        <v>523.95</v>
      </c>
      <c r="I48" s="7">
        <v>523.95</v>
      </c>
      <c r="J48" s="7">
        <v>0.0</v>
      </c>
      <c r="L48" s="9"/>
      <c r="M48" s="9">
        <f t="shared" ref="M48:U48" si="16">AVERAGE(M45:M47)</f>
        <v>578.43</v>
      </c>
      <c r="N48" s="10">
        <f t="shared" si="16"/>
        <v>17.21666667</v>
      </c>
      <c r="O48" s="9">
        <f t="shared" si="16"/>
        <v>0</v>
      </c>
      <c r="P48" s="9">
        <f t="shared" si="16"/>
        <v>578.43</v>
      </c>
      <c r="Q48" s="9">
        <f t="shared" si="16"/>
        <v>578.43</v>
      </c>
      <c r="R48" s="9">
        <f t="shared" si="16"/>
        <v>0</v>
      </c>
      <c r="S48" s="9">
        <f t="shared" si="16"/>
        <v>578.43</v>
      </c>
      <c r="T48" s="9">
        <f t="shared" si="16"/>
        <v>578.43</v>
      </c>
      <c r="U48" s="9">
        <f t="shared" si="16"/>
        <v>0</v>
      </c>
    </row>
    <row r="49">
      <c r="A49" s="7" t="s">
        <v>17</v>
      </c>
      <c r="B49" s="7">
        <v>604.96</v>
      </c>
      <c r="C49" s="7">
        <v>96.21</v>
      </c>
      <c r="D49" s="7">
        <v>0.0</v>
      </c>
      <c r="E49" s="7">
        <v>604.96</v>
      </c>
      <c r="F49" s="7">
        <v>604.96</v>
      </c>
      <c r="G49" s="7">
        <v>0.0</v>
      </c>
      <c r="H49" s="7">
        <v>604.96</v>
      </c>
      <c r="I49" s="7">
        <v>604.96</v>
      </c>
      <c r="J49" s="7">
        <v>0.0</v>
      </c>
      <c r="L49" s="7" t="s">
        <v>16</v>
      </c>
      <c r="M49" s="7">
        <v>360.04</v>
      </c>
      <c r="N49" s="7">
        <v>9.49</v>
      </c>
      <c r="O49" s="7">
        <v>0.0</v>
      </c>
      <c r="P49" s="7">
        <v>360.04</v>
      </c>
      <c r="Q49" s="7">
        <v>360.04</v>
      </c>
      <c r="R49" s="7">
        <v>0.0</v>
      </c>
      <c r="S49" s="7">
        <v>360.04</v>
      </c>
      <c r="T49" s="7">
        <v>360.04</v>
      </c>
      <c r="U49" s="7">
        <v>0.0</v>
      </c>
    </row>
    <row r="50">
      <c r="A50" s="7" t="s">
        <v>18</v>
      </c>
      <c r="B50" s="7">
        <v>611.94</v>
      </c>
      <c r="C50" s="7">
        <v>46.68</v>
      </c>
      <c r="D50" s="7">
        <v>0.0</v>
      </c>
      <c r="E50" s="7">
        <v>611.94</v>
      </c>
      <c r="F50" s="7">
        <v>611.94</v>
      </c>
      <c r="G50" s="7">
        <v>0.0</v>
      </c>
      <c r="H50" s="7">
        <v>611.94</v>
      </c>
      <c r="I50" s="7">
        <v>611.94</v>
      </c>
      <c r="J50" s="7">
        <v>0.0</v>
      </c>
      <c r="L50" s="7" t="s">
        <v>17</v>
      </c>
      <c r="M50" s="7">
        <v>371.18</v>
      </c>
      <c r="N50" s="7">
        <v>34.86</v>
      </c>
      <c r="O50" s="7">
        <v>0.0</v>
      </c>
      <c r="P50" s="7">
        <v>371.18</v>
      </c>
      <c r="Q50" s="7">
        <v>371.18</v>
      </c>
      <c r="R50" s="7">
        <v>0.0</v>
      </c>
      <c r="S50" s="7">
        <v>371.18</v>
      </c>
      <c r="T50" s="7">
        <v>371.18</v>
      </c>
      <c r="U50" s="7">
        <v>0.0</v>
      </c>
    </row>
    <row r="51">
      <c r="A51" s="9"/>
      <c r="B51" s="10">
        <f t="shared" ref="B51:J51" si="17">AVERAGE(B48:B50)</f>
        <v>580.2833333</v>
      </c>
      <c r="C51" s="10">
        <f t="shared" si="17"/>
        <v>50.67</v>
      </c>
      <c r="D51" s="12">
        <f t="shared" si="17"/>
        <v>0</v>
      </c>
      <c r="E51" s="10">
        <f t="shared" si="17"/>
        <v>580.2833333</v>
      </c>
      <c r="F51" s="10">
        <f t="shared" si="17"/>
        <v>580.2833333</v>
      </c>
      <c r="G51" s="12">
        <f t="shared" si="17"/>
        <v>0</v>
      </c>
      <c r="H51" s="10">
        <f t="shared" si="17"/>
        <v>580.2833333</v>
      </c>
      <c r="I51" s="10">
        <f t="shared" si="17"/>
        <v>580.2833333</v>
      </c>
      <c r="J51" s="10">
        <f t="shared" si="17"/>
        <v>0</v>
      </c>
      <c r="L51" s="7" t="s">
        <v>18</v>
      </c>
      <c r="M51" s="7">
        <v>387.72</v>
      </c>
      <c r="N51" s="7">
        <v>89.28</v>
      </c>
      <c r="O51" s="7">
        <v>0.0</v>
      </c>
      <c r="P51" s="7">
        <v>387.72</v>
      </c>
      <c r="Q51" s="7">
        <v>387.72</v>
      </c>
      <c r="R51" s="7">
        <v>0.0</v>
      </c>
      <c r="S51" s="7">
        <v>387.72</v>
      </c>
      <c r="T51" s="7">
        <v>387.72</v>
      </c>
      <c r="U51" s="7">
        <v>0.0</v>
      </c>
    </row>
    <row r="52">
      <c r="A52" s="7" t="s">
        <v>19</v>
      </c>
      <c r="B52" s="7">
        <v>1365.54</v>
      </c>
      <c r="C52" s="7">
        <v>7.11</v>
      </c>
      <c r="D52" s="7">
        <v>0.0</v>
      </c>
      <c r="E52" s="7">
        <v>1365.54</v>
      </c>
      <c r="F52" s="7">
        <v>1365.54</v>
      </c>
      <c r="G52" s="7">
        <v>0.0</v>
      </c>
      <c r="H52" s="7">
        <v>1359.96</v>
      </c>
      <c r="I52" s="7">
        <v>1359.96</v>
      </c>
      <c r="J52" s="7">
        <v>0.0</v>
      </c>
      <c r="L52" s="9"/>
      <c r="M52" s="9">
        <f t="shared" ref="M52:U52" si="18">AVERAGE(M49:M51)</f>
        <v>372.98</v>
      </c>
      <c r="N52" s="10">
        <f t="shared" si="18"/>
        <v>44.54333333</v>
      </c>
      <c r="O52" s="9">
        <f t="shared" si="18"/>
        <v>0</v>
      </c>
      <c r="P52" s="9">
        <f t="shared" si="18"/>
        <v>372.98</v>
      </c>
      <c r="Q52" s="9">
        <f t="shared" si="18"/>
        <v>372.98</v>
      </c>
      <c r="R52" s="9">
        <f t="shared" si="18"/>
        <v>0</v>
      </c>
      <c r="S52" s="9">
        <f t="shared" si="18"/>
        <v>372.98</v>
      </c>
      <c r="T52" s="9">
        <f t="shared" si="18"/>
        <v>372.98</v>
      </c>
      <c r="U52" s="9">
        <f t="shared" si="18"/>
        <v>0</v>
      </c>
    </row>
    <row r="53">
      <c r="A53" s="7" t="s">
        <v>20</v>
      </c>
      <c r="B53" s="7">
        <v>1353.54</v>
      </c>
      <c r="C53" s="7">
        <v>101.68</v>
      </c>
      <c r="D53" s="7">
        <v>0.0</v>
      </c>
      <c r="E53" s="7">
        <v>1353.54</v>
      </c>
      <c r="F53" s="7">
        <v>1353.54</v>
      </c>
      <c r="G53" s="7">
        <v>0.0</v>
      </c>
      <c r="H53" s="7">
        <v>1353.54</v>
      </c>
      <c r="I53" s="7">
        <v>1353.54</v>
      </c>
      <c r="J53" s="7">
        <v>0.0</v>
      </c>
      <c r="L53" s="7" t="s">
        <v>19</v>
      </c>
      <c r="M53" s="7">
        <v>913.48</v>
      </c>
      <c r="N53" s="7">
        <v>10.23</v>
      </c>
      <c r="O53" s="7">
        <v>0.0</v>
      </c>
      <c r="P53" s="7">
        <v>913.48</v>
      </c>
      <c r="Q53" s="7">
        <v>913.48</v>
      </c>
      <c r="R53" s="7">
        <v>0.0</v>
      </c>
      <c r="S53" s="7">
        <v>913.48</v>
      </c>
      <c r="T53" s="7">
        <v>913.48</v>
      </c>
      <c r="U53" s="7">
        <v>0.0</v>
      </c>
    </row>
    <row r="54">
      <c r="A54" s="7" t="s">
        <v>21</v>
      </c>
      <c r="B54" s="7">
        <v>1450.31</v>
      </c>
      <c r="C54" s="7">
        <v>25.12</v>
      </c>
      <c r="D54" s="7">
        <v>0.0</v>
      </c>
      <c r="E54" s="7">
        <v>1450.31</v>
      </c>
      <c r="F54" s="7">
        <v>1450.31</v>
      </c>
      <c r="G54" s="7">
        <v>0.0</v>
      </c>
      <c r="H54" s="7">
        <v>1450.31</v>
      </c>
      <c r="I54" s="7">
        <v>1450.31</v>
      </c>
      <c r="J54" s="7">
        <v>0.0</v>
      </c>
      <c r="L54" s="7" t="s">
        <v>20</v>
      </c>
      <c r="M54" s="8">
        <v>969.9</v>
      </c>
      <c r="N54" s="7">
        <v>98.86</v>
      </c>
      <c r="O54" s="7">
        <v>0.0</v>
      </c>
      <c r="P54" s="8">
        <v>969.9</v>
      </c>
      <c r="Q54" s="8">
        <v>969.9</v>
      </c>
      <c r="R54" s="7">
        <v>0.0</v>
      </c>
      <c r="S54" s="8">
        <v>969.9</v>
      </c>
      <c r="T54" s="8">
        <v>969.9</v>
      </c>
      <c r="U54" s="7">
        <v>0.0</v>
      </c>
    </row>
    <row r="55">
      <c r="A55" s="9"/>
      <c r="B55" s="10">
        <f t="shared" ref="B55:C55" si="19">AVERAGE(B52:B54)</f>
        <v>1389.796667</v>
      </c>
      <c r="C55" s="10">
        <f t="shared" si="19"/>
        <v>44.63666667</v>
      </c>
      <c r="D55" s="11">
        <v>0.0</v>
      </c>
      <c r="E55" s="10">
        <f t="shared" ref="E55:J55" si="20">AVERAGE(E52:E54)</f>
        <v>1389.796667</v>
      </c>
      <c r="F55" s="10">
        <f t="shared" si="20"/>
        <v>1389.796667</v>
      </c>
      <c r="G55" s="12">
        <f t="shared" si="20"/>
        <v>0</v>
      </c>
      <c r="H55" s="10">
        <f t="shared" si="20"/>
        <v>1387.936667</v>
      </c>
      <c r="I55" s="10">
        <f t="shared" si="20"/>
        <v>1387.936667</v>
      </c>
      <c r="J55" s="10">
        <f t="shared" si="20"/>
        <v>0</v>
      </c>
      <c r="L55" s="7" t="s">
        <v>21</v>
      </c>
      <c r="M55" s="7">
        <v>968.58</v>
      </c>
      <c r="N55" s="7">
        <v>120.73</v>
      </c>
      <c r="O55" s="7">
        <v>0.0</v>
      </c>
      <c r="P55" s="7">
        <v>968.58</v>
      </c>
      <c r="Q55" s="7">
        <v>968.58</v>
      </c>
      <c r="R55" s="7">
        <v>0.0</v>
      </c>
      <c r="S55" s="7">
        <v>968.58</v>
      </c>
      <c r="T55" s="7">
        <v>968.58</v>
      </c>
      <c r="U55" s="7">
        <v>0.0</v>
      </c>
    </row>
    <row r="56">
      <c r="A56" s="7" t="s">
        <v>22</v>
      </c>
      <c r="B56" s="8">
        <v>1378.2</v>
      </c>
      <c r="C56" s="7">
        <v>37.21</v>
      </c>
      <c r="D56" s="7">
        <v>0.0</v>
      </c>
      <c r="E56" s="8">
        <v>1378.2</v>
      </c>
      <c r="F56" s="8">
        <v>1378.2</v>
      </c>
      <c r="G56" s="7">
        <v>0.0</v>
      </c>
      <c r="H56" s="8">
        <v>1378.2</v>
      </c>
      <c r="I56" s="8">
        <v>1378.2</v>
      </c>
      <c r="J56" s="7">
        <v>0.0</v>
      </c>
      <c r="L56" s="9"/>
      <c r="M56" s="10">
        <f t="shared" ref="M56:U56" si="21">AVERAGE(M53:M55)</f>
        <v>950.6533333</v>
      </c>
      <c r="N56" s="10">
        <f t="shared" si="21"/>
        <v>76.60666667</v>
      </c>
      <c r="O56" s="10">
        <f t="shared" si="21"/>
        <v>0</v>
      </c>
      <c r="P56" s="10">
        <f t="shared" si="21"/>
        <v>950.6533333</v>
      </c>
      <c r="Q56" s="10">
        <f t="shared" si="21"/>
        <v>950.6533333</v>
      </c>
      <c r="R56" s="10">
        <f t="shared" si="21"/>
        <v>0</v>
      </c>
      <c r="S56" s="10">
        <f t="shared" si="21"/>
        <v>950.6533333</v>
      </c>
      <c r="T56" s="10">
        <f t="shared" si="21"/>
        <v>950.6533333</v>
      </c>
      <c r="U56" s="10">
        <f t="shared" si="21"/>
        <v>0</v>
      </c>
    </row>
    <row r="57">
      <c r="A57" s="7" t="s">
        <v>23</v>
      </c>
      <c r="B57" s="7">
        <v>1507.35</v>
      </c>
      <c r="C57" s="7" t="s">
        <v>14</v>
      </c>
      <c r="D57" s="7">
        <v>3.74</v>
      </c>
      <c r="E57" s="7">
        <v>1509.39</v>
      </c>
      <c r="F57" s="7">
        <v>1509.39</v>
      </c>
      <c r="G57" s="7">
        <v>0.0</v>
      </c>
      <c r="H57" s="7">
        <v>1509.39</v>
      </c>
      <c r="I57" s="7">
        <v>1509.39</v>
      </c>
      <c r="J57" s="7">
        <v>0.0</v>
      </c>
      <c r="L57" s="7" t="s">
        <v>22</v>
      </c>
      <c r="M57" s="8">
        <v>939.2</v>
      </c>
      <c r="N57" s="7">
        <v>17.68</v>
      </c>
      <c r="O57" s="7">
        <v>0.0</v>
      </c>
      <c r="P57" s="8">
        <v>939.2</v>
      </c>
      <c r="Q57" s="8">
        <v>939.2</v>
      </c>
      <c r="R57" s="7">
        <v>0.0</v>
      </c>
      <c r="S57" s="8">
        <v>939.2</v>
      </c>
      <c r="T57" s="8">
        <v>939.2</v>
      </c>
      <c r="U57" s="7">
        <v>0.0</v>
      </c>
    </row>
    <row r="58">
      <c r="A58" s="7" t="s">
        <v>24</v>
      </c>
      <c r="B58" s="7">
        <v>1594.73</v>
      </c>
      <c r="C58" s="7" t="s">
        <v>14</v>
      </c>
      <c r="D58" s="7">
        <v>4.76</v>
      </c>
      <c r="E58" s="7">
        <v>1594.73</v>
      </c>
      <c r="F58" s="7">
        <v>1594.73</v>
      </c>
      <c r="G58" s="7">
        <v>0.0</v>
      </c>
      <c r="H58" s="7">
        <v>1595.16</v>
      </c>
      <c r="I58" s="7">
        <v>1594.99</v>
      </c>
      <c r="J58" s="7">
        <v>0.21</v>
      </c>
      <c r="L58" s="7" t="s">
        <v>23</v>
      </c>
      <c r="M58" s="7">
        <v>1043.94</v>
      </c>
      <c r="N58" s="7" t="s">
        <v>14</v>
      </c>
      <c r="O58" s="8">
        <v>3.2</v>
      </c>
      <c r="P58" s="7">
        <v>1045.08</v>
      </c>
      <c r="Q58" s="7">
        <v>1045.08</v>
      </c>
      <c r="R58" s="7">
        <v>0.0</v>
      </c>
      <c r="S58" s="7">
        <v>1045.08</v>
      </c>
      <c r="T58" s="7">
        <v>1045.08</v>
      </c>
      <c r="U58" s="7">
        <v>0.0</v>
      </c>
    </row>
    <row r="59">
      <c r="A59" s="9"/>
      <c r="B59" s="10">
        <f>AVERAGE(B56:B58)</f>
        <v>1493.426667</v>
      </c>
      <c r="C59" s="8">
        <v>2418.71</v>
      </c>
      <c r="D59" s="10">
        <f t="shared" ref="D59:F59" si="22">AVERAGE(D56:D58)</f>
        <v>2.833333333</v>
      </c>
      <c r="E59" s="10">
        <f t="shared" si="22"/>
        <v>1494.106667</v>
      </c>
      <c r="F59" s="10">
        <f t="shared" si="22"/>
        <v>1494.106667</v>
      </c>
      <c r="G59" s="11">
        <v>0.0</v>
      </c>
      <c r="H59" s="10">
        <f t="shared" ref="H59:J59" si="23">AVERAGE(H56:H58)</f>
        <v>1494.25</v>
      </c>
      <c r="I59" s="10">
        <f t="shared" si="23"/>
        <v>1494.193333</v>
      </c>
      <c r="J59" s="10">
        <f t="shared" si="23"/>
        <v>0.07</v>
      </c>
      <c r="L59" s="7" t="s">
        <v>24</v>
      </c>
      <c r="M59" s="7">
        <v>1104.11</v>
      </c>
      <c r="N59" s="7" t="s">
        <v>14</v>
      </c>
      <c r="O59" s="7">
        <v>4.42</v>
      </c>
      <c r="P59" s="7">
        <v>1104.11</v>
      </c>
      <c r="Q59" s="7">
        <v>1103.19</v>
      </c>
      <c r="R59" s="7">
        <v>0.51</v>
      </c>
      <c r="S59" s="7">
        <v>1104.11</v>
      </c>
      <c r="T59" s="7">
        <v>1104.11</v>
      </c>
      <c r="U59" s="7">
        <v>0.0</v>
      </c>
    </row>
    <row r="60">
      <c r="A60" s="7" t="s">
        <v>25</v>
      </c>
      <c r="B60" s="7">
        <v>1113.78</v>
      </c>
      <c r="C60" s="7">
        <v>82.12</v>
      </c>
      <c r="D60" s="7">
        <v>0.0</v>
      </c>
      <c r="E60" s="7">
        <v>1113.78</v>
      </c>
      <c r="F60" s="7">
        <v>1113.78</v>
      </c>
      <c r="G60" s="7">
        <v>0.0</v>
      </c>
      <c r="H60" s="7">
        <v>1113.78</v>
      </c>
      <c r="I60" s="7">
        <v>1113.78</v>
      </c>
      <c r="J60" s="7">
        <v>0.0</v>
      </c>
      <c r="L60" s="9"/>
      <c r="M60" s="10">
        <f>AVERAGE(M57:M59)</f>
        <v>1029.083333</v>
      </c>
      <c r="N60" s="7">
        <v>2405.97</v>
      </c>
      <c r="O60" s="9">
        <f t="shared" ref="O60:U60" si="24">AVERAGE(O57:O59)</f>
        <v>2.54</v>
      </c>
      <c r="P60" s="10">
        <f t="shared" si="24"/>
        <v>1029.463333</v>
      </c>
      <c r="Q60" s="10">
        <f t="shared" si="24"/>
        <v>1029.156667</v>
      </c>
      <c r="R60" s="9">
        <f t="shared" si="24"/>
        <v>0.17</v>
      </c>
      <c r="S60" s="10">
        <f t="shared" si="24"/>
        <v>1029.463333</v>
      </c>
      <c r="T60" s="10">
        <f t="shared" si="24"/>
        <v>1029.463333</v>
      </c>
      <c r="U60" s="9">
        <f t="shared" si="24"/>
        <v>0</v>
      </c>
    </row>
    <row r="61">
      <c r="A61" s="7" t="s">
        <v>26</v>
      </c>
      <c r="B61" s="7">
        <v>1311.91</v>
      </c>
      <c r="C61" s="7">
        <v>583.37</v>
      </c>
      <c r="D61" s="7">
        <v>0.0</v>
      </c>
      <c r="E61" s="7">
        <v>1311.91</v>
      </c>
      <c r="F61" s="7">
        <v>1311.91</v>
      </c>
      <c r="G61" s="7">
        <v>0.0</v>
      </c>
      <c r="H61" s="7">
        <v>1311.91</v>
      </c>
      <c r="I61" s="7">
        <v>1311.91</v>
      </c>
      <c r="J61" s="7">
        <v>0.0</v>
      </c>
      <c r="L61" s="7" t="s">
        <v>25</v>
      </c>
      <c r="M61" s="7">
        <v>767.32</v>
      </c>
      <c r="N61" s="7">
        <v>84.85</v>
      </c>
      <c r="O61" s="7">
        <v>0.0</v>
      </c>
      <c r="P61" s="7">
        <v>767.32</v>
      </c>
      <c r="Q61" s="7">
        <v>767.32</v>
      </c>
      <c r="R61" s="7">
        <v>0.0</v>
      </c>
      <c r="S61" s="7">
        <v>767.32</v>
      </c>
      <c r="T61" s="7">
        <v>767.32</v>
      </c>
      <c r="U61" s="7">
        <v>0.0</v>
      </c>
    </row>
    <row r="62">
      <c r="A62" s="7" t="s">
        <v>27</v>
      </c>
      <c r="B62" s="8">
        <v>1116.2</v>
      </c>
      <c r="C62" s="7" t="s">
        <v>14</v>
      </c>
      <c r="D62" s="7">
        <v>3.99</v>
      </c>
      <c r="E62" s="8">
        <v>1116.2</v>
      </c>
      <c r="F62" s="8">
        <v>1116.2</v>
      </c>
      <c r="G62" s="7">
        <v>0.0</v>
      </c>
      <c r="H62" s="8">
        <v>1116.2</v>
      </c>
      <c r="I62" s="8">
        <v>1116.2</v>
      </c>
      <c r="J62" s="7">
        <v>0.0</v>
      </c>
      <c r="L62" s="7" t="s">
        <v>26</v>
      </c>
      <c r="M62" s="7">
        <v>798.82</v>
      </c>
      <c r="N62" s="7" t="s">
        <v>14</v>
      </c>
      <c r="O62" s="8">
        <v>3.2</v>
      </c>
      <c r="P62" s="7">
        <v>798.82</v>
      </c>
      <c r="Q62" s="7">
        <v>798.82</v>
      </c>
      <c r="R62" s="7">
        <v>0.0</v>
      </c>
      <c r="S62" s="7">
        <v>798.82</v>
      </c>
      <c r="T62" s="7">
        <v>798.82</v>
      </c>
      <c r="U62" s="7">
        <v>0.0</v>
      </c>
    </row>
    <row r="63">
      <c r="A63" s="9"/>
      <c r="B63" s="9">
        <f>AVERAGE(B60:B62)</f>
        <v>1180.63</v>
      </c>
      <c r="C63" s="7">
        <v>2088.52</v>
      </c>
      <c r="D63" s="9">
        <f t="shared" ref="D63:J63" si="25">AVERAGE(D60:D62)</f>
        <v>1.33</v>
      </c>
      <c r="E63" s="9">
        <f t="shared" si="25"/>
        <v>1180.63</v>
      </c>
      <c r="F63" s="9">
        <f t="shared" si="25"/>
        <v>1180.63</v>
      </c>
      <c r="G63" s="9">
        <f t="shared" si="25"/>
        <v>0</v>
      </c>
      <c r="H63" s="9">
        <f t="shared" si="25"/>
        <v>1180.63</v>
      </c>
      <c r="I63" s="9">
        <f t="shared" si="25"/>
        <v>1180.63</v>
      </c>
      <c r="J63" s="9">
        <f t="shared" si="25"/>
        <v>0</v>
      </c>
      <c r="L63" s="7" t="s">
        <v>27</v>
      </c>
      <c r="M63" s="7">
        <v>741.15</v>
      </c>
      <c r="N63" s="7">
        <v>3408.75</v>
      </c>
      <c r="O63" s="7">
        <v>0.0</v>
      </c>
      <c r="P63" s="7">
        <v>741.15</v>
      </c>
      <c r="Q63" s="7">
        <v>741.15</v>
      </c>
      <c r="R63" s="7">
        <v>0.0</v>
      </c>
      <c r="S63" s="7">
        <v>741.15</v>
      </c>
      <c r="T63" s="7">
        <v>741.15</v>
      </c>
      <c r="U63" s="7">
        <v>0.0</v>
      </c>
    </row>
    <row r="64">
      <c r="A64" s="7" t="s">
        <v>28</v>
      </c>
      <c r="B64" s="7">
        <v>2159.92</v>
      </c>
      <c r="C64" s="7">
        <v>1329.29</v>
      </c>
      <c r="D64" s="7">
        <v>0.0</v>
      </c>
      <c r="E64" s="7">
        <v>2159.92</v>
      </c>
      <c r="F64" s="7">
        <v>2160.31</v>
      </c>
      <c r="G64" s="11">
        <v>0.0</v>
      </c>
      <c r="H64" s="7">
        <v>2146.54</v>
      </c>
      <c r="I64" s="7">
        <v>2146.54</v>
      </c>
      <c r="J64" s="7">
        <v>0.0</v>
      </c>
      <c r="L64" s="9"/>
      <c r="M64" s="10">
        <f>AVERAGE(M61:M63)</f>
        <v>769.0966667</v>
      </c>
      <c r="N64" s="8">
        <v>2364.58</v>
      </c>
      <c r="O64" s="10">
        <f t="shared" ref="O64:U64" si="26">AVERAGE(O61:O63)</f>
        <v>1.066666667</v>
      </c>
      <c r="P64" s="10">
        <f t="shared" si="26"/>
        <v>769.0966667</v>
      </c>
      <c r="Q64" s="10">
        <f t="shared" si="26"/>
        <v>769.0966667</v>
      </c>
      <c r="R64" s="10">
        <f t="shared" si="26"/>
        <v>0</v>
      </c>
      <c r="S64" s="10">
        <f t="shared" si="26"/>
        <v>769.0966667</v>
      </c>
      <c r="T64" s="10">
        <f t="shared" si="26"/>
        <v>769.0966667</v>
      </c>
      <c r="U64" s="10">
        <f t="shared" si="26"/>
        <v>0</v>
      </c>
    </row>
    <row r="65">
      <c r="A65" s="7" t="s">
        <v>29</v>
      </c>
      <c r="B65" s="7">
        <v>2168.88</v>
      </c>
      <c r="C65" s="7">
        <v>2958.16</v>
      </c>
      <c r="D65" s="7">
        <v>0.0</v>
      </c>
      <c r="E65" s="7">
        <v>2168.88</v>
      </c>
      <c r="F65" s="7">
        <v>2168.88</v>
      </c>
      <c r="G65" s="11">
        <v>0.0</v>
      </c>
      <c r="H65" s="7">
        <v>2168.88</v>
      </c>
      <c r="I65" s="7">
        <v>2168.88</v>
      </c>
      <c r="J65" s="7">
        <v>0.0</v>
      </c>
      <c r="L65" s="7" t="s">
        <v>28</v>
      </c>
      <c r="M65" s="7">
        <v>1429.22</v>
      </c>
      <c r="N65" s="7">
        <v>541.09</v>
      </c>
      <c r="O65" s="7">
        <v>0.0</v>
      </c>
      <c r="P65" s="7">
        <v>1429.22</v>
      </c>
      <c r="Q65" s="7">
        <v>1429.22</v>
      </c>
      <c r="R65" s="7">
        <v>0.0</v>
      </c>
      <c r="S65" s="7">
        <v>1422.41</v>
      </c>
      <c r="T65" s="7">
        <v>1422.41</v>
      </c>
      <c r="U65" s="7">
        <v>0.0</v>
      </c>
    </row>
    <row r="66">
      <c r="A66" s="7" t="s">
        <v>30</v>
      </c>
      <c r="B66" s="7">
        <v>2443.75</v>
      </c>
      <c r="C66" s="7" t="s">
        <v>14</v>
      </c>
      <c r="D66" s="7">
        <v>4.21</v>
      </c>
      <c r="E66" s="7">
        <v>2445.91</v>
      </c>
      <c r="F66" s="7">
        <v>2445.91</v>
      </c>
      <c r="G66" s="7">
        <v>0.0</v>
      </c>
      <c r="H66" s="7">
        <v>2443.75</v>
      </c>
      <c r="I66" s="7">
        <v>2443.75</v>
      </c>
      <c r="J66" s="7">
        <v>0.0</v>
      </c>
      <c r="L66" s="7" t="s">
        <v>29</v>
      </c>
      <c r="M66" s="7">
        <v>1562.27</v>
      </c>
      <c r="N66" s="7">
        <v>3066.93</v>
      </c>
      <c r="O66" s="7">
        <v>0.0</v>
      </c>
      <c r="P66" s="7">
        <v>1562.27</v>
      </c>
      <c r="Q66" s="7">
        <v>1562.27</v>
      </c>
      <c r="R66" s="7">
        <v>0.0</v>
      </c>
      <c r="S66" s="7">
        <v>1562.27</v>
      </c>
      <c r="T66" s="7">
        <v>1562.27</v>
      </c>
      <c r="U66" s="7">
        <v>0.0</v>
      </c>
    </row>
    <row r="67">
      <c r="A67" s="2"/>
      <c r="B67" s="10">
        <f>AVERAGE(B64:B66)</f>
        <v>2257.516667</v>
      </c>
      <c r="C67" s="8">
        <v>2762.82</v>
      </c>
      <c r="D67" s="10">
        <f t="shared" ref="D67:F67" si="27">AVERAGE(D64:D66)</f>
        <v>1.403333333</v>
      </c>
      <c r="E67" s="10">
        <f t="shared" si="27"/>
        <v>2258.236667</v>
      </c>
      <c r="F67" s="10">
        <f t="shared" si="27"/>
        <v>2258.366667</v>
      </c>
      <c r="G67" s="11">
        <v>0.0</v>
      </c>
      <c r="H67" s="10">
        <f t="shared" ref="H67:J67" si="28">AVERAGE(H64:H66)</f>
        <v>2253.056667</v>
      </c>
      <c r="I67" s="10">
        <f t="shared" si="28"/>
        <v>2253.056667</v>
      </c>
      <c r="J67" s="10">
        <f t="shared" si="28"/>
        <v>0</v>
      </c>
      <c r="L67" s="7" t="s">
        <v>30</v>
      </c>
      <c r="M67" s="7">
        <v>1627.33</v>
      </c>
      <c r="N67" s="7" t="s">
        <v>14</v>
      </c>
      <c r="O67" s="7">
        <v>5.43</v>
      </c>
      <c r="P67" s="7">
        <v>1631.78</v>
      </c>
      <c r="Q67" s="7">
        <v>1631.78</v>
      </c>
      <c r="R67" s="7">
        <v>0.0</v>
      </c>
      <c r="S67" s="7">
        <v>1627.33</v>
      </c>
      <c r="T67" s="7">
        <v>1627.33</v>
      </c>
      <c r="U67" s="7">
        <v>0.0</v>
      </c>
    </row>
    <row r="68">
      <c r="A68" s="7" t="s">
        <v>31</v>
      </c>
      <c r="B68" s="8">
        <v>2314.7</v>
      </c>
      <c r="C68" s="7">
        <v>406.64</v>
      </c>
      <c r="D68" s="7">
        <v>0.0</v>
      </c>
      <c r="E68" s="8">
        <v>2314.7</v>
      </c>
      <c r="F68" s="8">
        <v>2314.7</v>
      </c>
      <c r="G68" s="7">
        <v>0.0</v>
      </c>
      <c r="H68" s="8">
        <v>2314.7</v>
      </c>
      <c r="I68" s="8">
        <v>2314.7</v>
      </c>
      <c r="J68" s="7">
        <v>0.0</v>
      </c>
      <c r="L68" s="2"/>
      <c r="M68" s="10">
        <f>AVERAGE(M65:M67)</f>
        <v>1539.606667</v>
      </c>
      <c r="N68" s="8">
        <v>2473.06</v>
      </c>
      <c r="O68" s="10">
        <f t="shared" ref="O68:U68" si="29">AVERAGE(O65:O67)</f>
        <v>1.81</v>
      </c>
      <c r="P68" s="10">
        <f t="shared" si="29"/>
        <v>1541.09</v>
      </c>
      <c r="Q68" s="10">
        <f t="shared" si="29"/>
        <v>1541.09</v>
      </c>
      <c r="R68" s="10">
        <f t="shared" si="29"/>
        <v>0</v>
      </c>
      <c r="S68" s="10">
        <f t="shared" si="29"/>
        <v>1537.336667</v>
      </c>
      <c r="T68" s="10">
        <f t="shared" si="29"/>
        <v>1537.336667</v>
      </c>
      <c r="U68" s="10">
        <f t="shared" si="29"/>
        <v>0</v>
      </c>
    </row>
    <row r="69">
      <c r="A69" s="7" t="s">
        <v>32</v>
      </c>
      <c r="B69" s="7">
        <v>2733.92</v>
      </c>
      <c r="C69" s="7" t="s">
        <v>14</v>
      </c>
      <c r="D69" s="7">
        <v>3.95</v>
      </c>
      <c r="E69" s="7">
        <v>2733.92</v>
      </c>
      <c r="F69" s="7">
        <v>2731.13</v>
      </c>
      <c r="G69" s="7">
        <v>5.13</v>
      </c>
      <c r="H69" s="7">
        <v>2733.92</v>
      </c>
      <c r="I69" s="7">
        <v>2733.92</v>
      </c>
      <c r="J69" s="7">
        <v>0.0</v>
      </c>
      <c r="L69" s="7" t="s">
        <v>31</v>
      </c>
      <c r="M69" s="7">
        <v>1593.18</v>
      </c>
      <c r="N69" s="7">
        <v>271.81</v>
      </c>
      <c r="O69" s="7">
        <v>0.0</v>
      </c>
      <c r="P69" s="7">
        <v>1593.18</v>
      </c>
      <c r="Q69" s="7">
        <v>1593.18</v>
      </c>
      <c r="R69" s="7">
        <v>0.0</v>
      </c>
      <c r="S69" s="7">
        <v>1593.18</v>
      </c>
      <c r="T69" s="7">
        <v>1593.18</v>
      </c>
      <c r="U69" s="7">
        <v>0.0</v>
      </c>
    </row>
    <row r="70">
      <c r="A70" s="7" t="s">
        <v>33</v>
      </c>
      <c r="B70" s="7">
        <v>2604.79</v>
      </c>
      <c r="C70" s="7" t="s">
        <v>14</v>
      </c>
      <c r="D70" s="7">
        <v>8.21</v>
      </c>
      <c r="E70" s="7">
        <v>2620.75</v>
      </c>
      <c r="F70" s="7">
        <v>2620.75</v>
      </c>
      <c r="G70" s="7">
        <v>0.0</v>
      </c>
      <c r="H70" s="7">
        <v>2640.94</v>
      </c>
      <c r="I70" s="7">
        <v>2640.94</v>
      </c>
      <c r="J70" s="7">
        <v>0.0</v>
      </c>
      <c r="L70" s="7" t="s">
        <v>32</v>
      </c>
      <c r="M70" s="7">
        <v>1827.94</v>
      </c>
      <c r="N70" s="7" t="s">
        <v>14</v>
      </c>
      <c r="O70" s="7">
        <v>7.94</v>
      </c>
      <c r="P70" s="7">
        <v>1848.28</v>
      </c>
      <c r="Q70" s="7">
        <v>1848.28</v>
      </c>
      <c r="R70" s="7">
        <v>0.0</v>
      </c>
      <c r="S70" s="7">
        <v>1850.12</v>
      </c>
      <c r="T70" s="7">
        <v>1846.27</v>
      </c>
      <c r="U70" s="7">
        <v>5.02</v>
      </c>
    </row>
    <row r="71">
      <c r="A71" s="9"/>
      <c r="B71" s="10">
        <f>AVERAGE(B68:B70)</f>
        <v>2551.136667</v>
      </c>
      <c r="C71" s="8">
        <v>2603.42</v>
      </c>
      <c r="D71" s="10">
        <f t="shared" ref="D71:J71" si="30">AVERAGE(D68:D70)</f>
        <v>4.053333333</v>
      </c>
      <c r="E71" s="10">
        <f t="shared" si="30"/>
        <v>2556.456667</v>
      </c>
      <c r="F71" s="10">
        <f t="shared" si="30"/>
        <v>2555.526667</v>
      </c>
      <c r="G71" s="10">
        <f t="shared" si="30"/>
        <v>1.71</v>
      </c>
      <c r="H71" s="10">
        <f t="shared" si="30"/>
        <v>2563.186667</v>
      </c>
      <c r="I71" s="10">
        <f t="shared" si="30"/>
        <v>2563.186667</v>
      </c>
      <c r="J71" s="10">
        <f t="shared" si="30"/>
        <v>0</v>
      </c>
      <c r="L71" s="7" t="s">
        <v>33</v>
      </c>
      <c r="M71" s="7">
        <v>1781.27</v>
      </c>
      <c r="N71" s="7" t="s">
        <v>14</v>
      </c>
      <c r="O71" s="7">
        <v>11.32</v>
      </c>
      <c r="P71" s="7">
        <v>1811.92</v>
      </c>
      <c r="Q71" s="7">
        <v>1811.92</v>
      </c>
      <c r="R71" s="7">
        <v>0.0</v>
      </c>
      <c r="S71" s="7">
        <v>1817.15</v>
      </c>
      <c r="T71" s="7">
        <v>1814.34</v>
      </c>
      <c r="U71" s="7">
        <v>2.47</v>
      </c>
    </row>
    <row r="72">
      <c r="A72" s="7" t="s">
        <v>34</v>
      </c>
      <c r="B72" s="8">
        <v>2258.5</v>
      </c>
      <c r="C72" s="7" t="s">
        <v>14</v>
      </c>
      <c r="D72" s="7">
        <v>7.45</v>
      </c>
      <c r="E72" s="8">
        <v>2258.5</v>
      </c>
      <c r="F72" s="7">
        <v>2251.82</v>
      </c>
      <c r="G72" s="7">
        <v>4.27</v>
      </c>
      <c r="H72" s="8">
        <v>2254.5</v>
      </c>
      <c r="I72" s="8">
        <v>2254.5</v>
      </c>
      <c r="J72" s="7">
        <v>0.0</v>
      </c>
      <c r="L72" s="9"/>
      <c r="M72" s="9">
        <f>AVERAGE(M69:M71)</f>
        <v>1734.13</v>
      </c>
      <c r="N72" s="8">
        <v>3600.0</v>
      </c>
      <c r="O72" s="9">
        <f t="shared" ref="O72:U72" si="31">AVERAGE(O69:O71)</f>
        <v>6.42</v>
      </c>
      <c r="P72" s="10">
        <f t="shared" si="31"/>
        <v>1751.126667</v>
      </c>
      <c r="Q72" s="10">
        <f t="shared" si="31"/>
        <v>1751.126667</v>
      </c>
      <c r="R72" s="9">
        <f t="shared" si="31"/>
        <v>0</v>
      </c>
      <c r="S72" s="10">
        <f t="shared" si="31"/>
        <v>1753.483333</v>
      </c>
      <c r="T72" s="10">
        <f t="shared" si="31"/>
        <v>1751.263333</v>
      </c>
      <c r="U72" s="10">
        <f t="shared" si="31"/>
        <v>2.496666667</v>
      </c>
    </row>
    <row r="73">
      <c r="A73" s="7" t="s">
        <v>35</v>
      </c>
      <c r="B73" s="7">
        <v>2712.18</v>
      </c>
      <c r="C73" s="7" t="s">
        <v>14</v>
      </c>
      <c r="D73" s="7">
        <v>10.45</v>
      </c>
      <c r="E73" s="7">
        <v>2731.66</v>
      </c>
      <c r="F73" s="7">
        <v>2708.56</v>
      </c>
      <c r="G73" s="7">
        <v>13.09</v>
      </c>
      <c r="H73" s="7">
        <v>2712.18</v>
      </c>
      <c r="I73" s="7">
        <v>2712.18</v>
      </c>
      <c r="J73" s="7">
        <v>0.0</v>
      </c>
      <c r="L73" s="7" t="s">
        <v>34</v>
      </c>
      <c r="M73" s="8">
        <v>1573.7</v>
      </c>
      <c r="N73" s="7">
        <v>218.96</v>
      </c>
      <c r="O73" s="7">
        <v>0.0</v>
      </c>
      <c r="P73" s="8">
        <v>1573.7</v>
      </c>
      <c r="Q73" s="8">
        <v>1573.34</v>
      </c>
      <c r="R73" s="7">
        <v>0.49</v>
      </c>
      <c r="S73" s="7">
        <v>1568.28</v>
      </c>
      <c r="T73" s="7">
        <v>1568.28</v>
      </c>
      <c r="U73" s="7">
        <v>0.0</v>
      </c>
    </row>
    <row r="74">
      <c r="A74" s="7" t="s">
        <v>36</v>
      </c>
      <c r="B74" s="7">
        <v>2323.72</v>
      </c>
      <c r="C74" s="7" t="s">
        <v>14</v>
      </c>
      <c r="D74" s="7">
        <v>12.78</v>
      </c>
      <c r="E74" s="7">
        <v>2359.13</v>
      </c>
      <c r="F74" s="7">
        <v>2352.86</v>
      </c>
      <c r="G74" s="7">
        <v>6.09</v>
      </c>
      <c r="H74" s="7">
        <v>2346.43</v>
      </c>
      <c r="I74" s="7">
        <v>2346.43</v>
      </c>
      <c r="J74" s="7">
        <v>0.0</v>
      </c>
      <c r="L74" s="7" t="s">
        <v>35</v>
      </c>
      <c r="M74" s="7">
        <v>1733.97</v>
      </c>
      <c r="N74" s="7">
        <v>13.18</v>
      </c>
      <c r="O74" s="7">
        <v>13.18</v>
      </c>
      <c r="P74" s="7">
        <v>1736.66</v>
      </c>
      <c r="Q74" s="7">
        <v>1728.37</v>
      </c>
      <c r="R74" s="7">
        <v>1.12</v>
      </c>
      <c r="S74" s="7">
        <v>1736.47</v>
      </c>
      <c r="T74" s="7">
        <v>1736.47</v>
      </c>
      <c r="U74" s="7">
        <v>0.0</v>
      </c>
    </row>
    <row r="75">
      <c r="A75" s="9"/>
      <c r="B75" s="10">
        <f>AVERAGE(B72:B74)</f>
        <v>2431.466667</v>
      </c>
      <c r="C75" s="8">
        <v>3600.0</v>
      </c>
      <c r="D75" s="10">
        <f t="shared" ref="D75:J75" si="32">AVERAGE(D72:D74)</f>
        <v>10.22666667</v>
      </c>
      <c r="E75" s="10">
        <f t="shared" si="32"/>
        <v>2449.763333</v>
      </c>
      <c r="F75" s="10">
        <f t="shared" si="32"/>
        <v>2437.746667</v>
      </c>
      <c r="G75" s="10">
        <f t="shared" si="32"/>
        <v>7.816666667</v>
      </c>
      <c r="H75" s="10">
        <f t="shared" si="32"/>
        <v>2437.703333</v>
      </c>
      <c r="I75" s="10">
        <f t="shared" si="32"/>
        <v>2437.703333</v>
      </c>
      <c r="J75" s="10">
        <f t="shared" si="32"/>
        <v>0</v>
      </c>
      <c r="L75" s="7" t="s">
        <v>36</v>
      </c>
      <c r="M75" s="7">
        <v>1631.44</v>
      </c>
      <c r="N75" s="7" t="s">
        <v>14</v>
      </c>
      <c r="O75" s="7">
        <v>14.63</v>
      </c>
      <c r="P75" s="7">
        <v>1645.58</v>
      </c>
      <c r="Q75" s="7">
        <v>1643.79</v>
      </c>
      <c r="R75" s="7">
        <v>1.63</v>
      </c>
      <c r="S75" s="7">
        <v>1642.08</v>
      </c>
      <c r="T75" s="7">
        <v>1642.08</v>
      </c>
      <c r="U75" s="7">
        <v>0.0</v>
      </c>
    </row>
    <row r="76">
      <c r="A76" s="7" t="s">
        <v>37</v>
      </c>
      <c r="B76" s="7">
        <v>3674.93</v>
      </c>
      <c r="C76" s="7" t="s">
        <v>14</v>
      </c>
      <c r="D76" s="7">
        <v>6.43</v>
      </c>
      <c r="E76" s="7">
        <v>3675.31</v>
      </c>
      <c r="F76" s="7">
        <v>3675.31</v>
      </c>
      <c r="G76" s="7">
        <v>0.0</v>
      </c>
      <c r="H76" s="7">
        <v>3648.02</v>
      </c>
      <c r="I76" s="7">
        <v>3647.74</v>
      </c>
      <c r="J76" s="7">
        <v>0.55</v>
      </c>
      <c r="L76" s="9"/>
      <c r="M76" s="10">
        <f>AVERAGE(M73:M75)</f>
        <v>1646.37</v>
      </c>
      <c r="N76" s="8">
        <v>3600.0</v>
      </c>
      <c r="O76" s="9">
        <f t="shared" ref="O76:U76" si="33">AVERAGE(O73:O75)</f>
        <v>9.27</v>
      </c>
      <c r="P76" s="10">
        <f t="shared" si="33"/>
        <v>1651.98</v>
      </c>
      <c r="Q76" s="10">
        <f t="shared" si="33"/>
        <v>1648.5</v>
      </c>
      <c r="R76" s="9">
        <f t="shared" si="33"/>
        <v>1.08</v>
      </c>
      <c r="S76" s="10">
        <f t="shared" si="33"/>
        <v>1648.943333</v>
      </c>
      <c r="T76" s="10">
        <f t="shared" si="33"/>
        <v>1648.943333</v>
      </c>
      <c r="U76" s="9">
        <f t="shared" si="33"/>
        <v>0</v>
      </c>
    </row>
    <row r="77">
      <c r="A77" s="7" t="s">
        <v>38</v>
      </c>
      <c r="B77" s="7">
        <v>3916.5</v>
      </c>
      <c r="C77" s="7" t="s">
        <v>14</v>
      </c>
      <c r="D77" s="7">
        <v>6.44</v>
      </c>
      <c r="E77" s="7">
        <v>3958.71</v>
      </c>
      <c r="F77" s="7">
        <v>3951.46</v>
      </c>
      <c r="G77" s="7">
        <v>4.05</v>
      </c>
      <c r="H77" s="7">
        <v>3921.78</v>
      </c>
      <c r="I77" s="7">
        <v>3921.78</v>
      </c>
      <c r="J77" s="7">
        <v>0.0</v>
      </c>
      <c r="L77" s="7" t="s">
        <v>37</v>
      </c>
      <c r="M77" s="7">
        <v>2421.36</v>
      </c>
      <c r="N77" s="7" t="s">
        <v>14</v>
      </c>
      <c r="O77" s="7">
        <v>6.92</v>
      </c>
      <c r="P77" s="7">
        <v>2421.36</v>
      </c>
      <c r="Q77" s="7">
        <v>2421.36</v>
      </c>
      <c r="R77" s="7">
        <v>0.0</v>
      </c>
      <c r="S77" s="7">
        <v>2414.01</v>
      </c>
      <c r="T77" s="7">
        <v>2414.01</v>
      </c>
      <c r="U77" s="7">
        <v>0.0</v>
      </c>
    </row>
    <row r="78">
      <c r="A78" s="7" t="s">
        <v>39</v>
      </c>
      <c r="B78" s="7">
        <v>4549.43</v>
      </c>
      <c r="C78" s="9"/>
      <c r="D78" s="7">
        <v>6.72</v>
      </c>
      <c r="E78" s="7">
        <v>4553.33</v>
      </c>
      <c r="F78" s="7">
        <v>4551.58</v>
      </c>
      <c r="G78" s="7">
        <v>1.59</v>
      </c>
      <c r="H78" s="7">
        <v>4535.96</v>
      </c>
      <c r="I78" s="7">
        <v>4535.96</v>
      </c>
      <c r="J78" s="7">
        <v>0.0</v>
      </c>
      <c r="L78" s="7" t="s">
        <v>38</v>
      </c>
      <c r="M78" s="7">
        <v>2774.17</v>
      </c>
      <c r="N78" s="7" t="s">
        <v>14</v>
      </c>
      <c r="O78" s="7">
        <v>7.72</v>
      </c>
      <c r="P78" s="7">
        <v>2786.26</v>
      </c>
      <c r="Q78" s="7">
        <v>2786.26</v>
      </c>
      <c r="R78" s="7">
        <v>0.0</v>
      </c>
      <c r="S78" s="7">
        <v>2745.29</v>
      </c>
      <c r="T78" s="7">
        <v>2745.29</v>
      </c>
      <c r="U78" s="7">
        <v>0.0</v>
      </c>
    </row>
    <row r="79">
      <c r="A79" s="2"/>
      <c r="B79" s="10">
        <f>AVERAGE(B76:B78)</f>
        <v>4046.953333</v>
      </c>
      <c r="C79" s="8">
        <v>3600.0</v>
      </c>
      <c r="D79" s="10">
        <f t="shared" ref="D79:J79" si="34">AVERAGE(D76:D78)</f>
        <v>6.53</v>
      </c>
      <c r="E79" s="10">
        <f t="shared" si="34"/>
        <v>4062.45</v>
      </c>
      <c r="F79" s="10">
        <f t="shared" si="34"/>
        <v>4059.45</v>
      </c>
      <c r="G79" s="10">
        <f t="shared" si="34"/>
        <v>1.88</v>
      </c>
      <c r="H79" s="10">
        <f t="shared" si="34"/>
        <v>4035.253333</v>
      </c>
      <c r="I79" s="10">
        <f t="shared" si="34"/>
        <v>4035.16</v>
      </c>
      <c r="J79" s="10">
        <f t="shared" si="34"/>
        <v>0.1833333333</v>
      </c>
      <c r="L79" s="7" t="s">
        <v>39</v>
      </c>
      <c r="M79" s="7">
        <v>2962.31</v>
      </c>
      <c r="N79" s="7" t="s">
        <v>14</v>
      </c>
      <c r="O79" s="7">
        <v>8.99</v>
      </c>
      <c r="P79" s="7">
        <v>2992.98</v>
      </c>
      <c r="Q79" s="7">
        <v>2992.98</v>
      </c>
      <c r="R79" s="7">
        <v>0.0</v>
      </c>
      <c r="S79" s="7">
        <v>2978.21</v>
      </c>
      <c r="T79" s="7">
        <v>2978.21</v>
      </c>
      <c r="U79" s="7">
        <v>0.0</v>
      </c>
    </row>
    <row r="80">
      <c r="L80" s="2"/>
      <c r="M80" s="9">
        <f>AVERAGE(M77:M79)</f>
        <v>2719.28</v>
      </c>
      <c r="N80" s="8">
        <v>3600.0</v>
      </c>
      <c r="O80" s="10">
        <f t="shared" ref="O80:U80" si="35">AVERAGE(O77:O79)</f>
        <v>7.876666667</v>
      </c>
      <c r="P80" s="10">
        <f t="shared" si="35"/>
        <v>2733.533333</v>
      </c>
      <c r="Q80" s="10">
        <f t="shared" si="35"/>
        <v>2733.533333</v>
      </c>
      <c r="R80" s="9">
        <f t="shared" si="35"/>
        <v>0</v>
      </c>
      <c r="S80" s="10">
        <f t="shared" si="35"/>
        <v>2712.503333</v>
      </c>
      <c r="T80" s="10">
        <f t="shared" si="35"/>
        <v>2712.503333</v>
      </c>
      <c r="U80" s="9">
        <f t="shared" si="35"/>
        <v>0</v>
      </c>
    </row>
    <row r="85">
      <c r="A85" s="3" t="s">
        <v>42</v>
      </c>
      <c r="B85" s="4"/>
      <c r="C85" s="4"/>
      <c r="D85" s="4"/>
      <c r="E85" s="4"/>
      <c r="F85" s="4"/>
      <c r="G85" s="4"/>
      <c r="H85" s="4"/>
      <c r="I85" s="4"/>
      <c r="J85" s="5"/>
      <c r="L85" s="3" t="s">
        <v>43</v>
      </c>
      <c r="M85" s="4"/>
      <c r="N85" s="4"/>
      <c r="O85" s="4"/>
      <c r="P85" s="4"/>
      <c r="Q85" s="4"/>
      <c r="R85" s="4"/>
      <c r="S85" s="4"/>
      <c r="T85" s="4"/>
      <c r="U85" s="5"/>
    </row>
    <row r="86">
      <c r="A86" s="2"/>
      <c r="B86" s="13"/>
      <c r="C86" s="4"/>
      <c r="D86" s="4"/>
      <c r="E86" s="4"/>
      <c r="F86" s="4"/>
      <c r="G86" s="4"/>
      <c r="H86" s="4"/>
      <c r="I86" s="4"/>
      <c r="J86" s="5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6" t="s">
        <v>5</v>
      </c>
      <c r="B87" s="3" t="s">
        <v>3</v>
      </c>
      <c r="C87" s="4"/>
      <c r="D87" s="5"/>
      <c r="E87" s="3" t="s">
        <v>44</v>
      </c>
      <c r="F87" s="4"/>
      <c r="G87" s="5"/>
      <c r="H87" s="3" t="s">
        <v>4</v>
      </c>
      <c r="I87" s="4"/>
      <c r="J87" s="5"/>
      <c r="L87" s="6" t="s">
        <v>5</v>
      </c>
      <c r="M87" s="3" t="s">
        <v>3</v>
      </c>
      <c r="N87" s="4"/>
      <c r="O87" s="5"/>
      <c r="P87" s="3" t="s">
        <v>44</v>
      </c>
      <c r="Q87" s="4"/>
      <c r="R87" s="5"/>
      <c r="S87" s="3" t="s">
        <v>4</v>
      </c>
      <c r="T87" s="4"/>
      <c r="U87" s="5"/>
    </row>
    <row r="88">
      <c r="A88" s="7"/>
      <c r="B88" s="7" t="s">
        <v>6</v>
      </c>
      <c r="C88" s="7" t="s">
        <v>9</v>
      </c>
      <c r="D88" s="7" t="s">
        <v>10</v>
      </c>
      <c r="E88" s="7" t="s">
        <v>6</v>
      </c>
      <c r="F88" s="7" t="s">
        <v>9</v>
      </c>
      <c r="G88" s="7" t="s">
        <v>10</v>
      </c>
      <c r="H88" s="7" t="s">
        <v>6</v>
      </c>
      <c r="I88" s="7" t="s">
        <v>9</v>
      </c>
      <c r="J88" s="7" t="s">
        <v>10</v>
      </c>
      <c r="L88" s="7"/>
      <c r="M88" s="7" t="s">
        <v>6</v>
      </c>
      <c r="N88" s="7" t="s">
        <v>9</v>
      </c>
      <c r="O88" s="7" t="s">
        <v>10</v>
      </c>
      <c r="P88" s="7" t="s">
        <v>6</v>
      </c>
      <c r="Q88" s="7" t="s">
        <v>9</v>
      </c>
      <c r="R88" s="7" t="s">
        <v>10</v>
      </c>
      <c r="S88" s="7" t="s">
        <v>6</v>
      </c>
      <c r="T88" s="7" t="s">
        <v>9</v>
      </c>
      <c r="U88" s="7" t="s">
        <v>10</v>
      </c>
    </row>
    <row r="89">
      <c r="A89" s="7" t="s">
        <v>45</v>
      </c>
      <c r="B89" s="8">
        <v>14761.1</v>
      </c>
      <c r="C89" s="8">
        <v>14756.4</v>
      </c>
      <c r="D89" s="7">
        <v>4.96</v>
      </c>
      <c r="E89" s="8">
        <v>14572.7</v>
      </c>
      <c r="F89" s="8">
        <v>14562.7</v>
      </c>
      <c r="G89" s="7">
        <v>13.06</v>
      </c>
      <c r="H89" s="7">
        <v>14780.29</v>
      </c>
      <c r="I89" s="8">
        <v>14776.3</v>
      </c>
      <c r="J89" s="7">
        <v>2.85</v>
      </c>
      <c r="L89" s="7" t="s">
        <v>45</v>
      </c>
      <c r="M89" s="7">
        <v>4975.31</v>
      </c>
      <c r="N89" s="8">
        <v>4971.7</v>
      </c>
      <c r="O89" s="8">
        <v>3.3</v>
      </c>
      <c r="P89" s="7">
        <v>4889.85</v>
      </c>
      <c r="Q89" s="7">
        <v>4848.72</v>
      </c>
      <c r="R89" s="8">
        <v>25.2</v>
      </c>
      <c r="S89" s="7">
        <v>5009.75</v>
      </c>
      <c r="T89" s="7">
        <v>5009.75</v>
      </c>
      <c r="U89" s="7">
        <v>0.0</v>
      </c>
    </row>
    <row r="90">
      <c r="A90" s="7" t="s">
        <v>46</v>
      </c>
      <c r="B90" s="8">
        <v>16103.8</v>
      </c>
      <c r="C90" s="7">
        <v>16082.28</v>
      </c>
      <c r="D90" s="7">
        <v>20.25</v>
      </c>
      <c r="E90" s="8">
        <v>15753.3</v>
      </c>
      <c r="F90" s="7">
        <v>15553.78</v>
      </c>
      <c r="G90" s="7">
        <v>142.25</v>
      </c>
      <c r="H90" s="7">
        <v>16134.24</v>
      </c>
      <c r="I90" s="7">
        <v>16113.37</v>
      </c>
      <c r="J90" s="7">
        <v>38.63</v>
      </c>
      <c r="L90" s="7" t="s">
        <v>46</v>
      </c>
      <c r="M90" s="8">
        <v>5693.3</v>
      </c>
      <c r="N90" s="7">
        <v>5686.54</v>
      </c>
      <c r="O90" s="7">
        <v>9.42</v>
      </c>
      <c r="P90" s="7">
        <v>5595.31</v>
      </c>
      <c r="Q90" s="7">
        <v>5572.51</v>
      </c>
      <c r="R90" s="7">
        <v>14.12</v>
      </c>
      <c r="S90" s="7">
        <v>5703.78</v>
      </c>
      <c r="T90" s="7">
        <v>5673.32</v>
      </c>
      <c r="U90" s="7">
        <v>18.01</v>
      </c>
    </row>
    <row r="91">
      <c r="A91" s="7" t="s">
        <v>47</v>
      </c>
      <c r="B91" s="8">
        <v>18030.7</v>
      </c>
      <c r="C91" s="7">
        <v>18017.78</v>
      </c>
      <c r="D91" s="7">
        <v>8.86</v>
      </c>
      <c r="E91" s="8">
        <v>17778.6</v>
      </c>
      <c r="F91" s="7">
        <v>17704.08</v>
      </c>
      <c r="G91" s="7">
        <v>65.29</v>
      </c>
      <c r="H91" s="7">
        <v>18069.63</v>
      </c>
      <c r="I91" s="8">
        <v>18048.9</v>
      </c>
      <c r="J91" s="7">
        <v>25.31</v>
      </c>
      <c r="L91" s="7" t="s">
        <v>47</v>
      </c>
      <c r="M91" s="7">
        <v>5585.35</v>
      </c>
      <c r="N91" s="7">
        <v>5577.41</v>
      </c>
      <c r="O91" s="7">
        <v>5.93</v>
      </c>
      <c r="P91" s="7">
        <v>5444.95</v>
      </c>
      <c r="Q91" s="7">
        <v>5353.98</v>
      </c>
      <c r="R91" s="8">
        <v>67.3</v>
      </c>
      <c r="S91" s="7">
        <v>5604.82</v>
      </c>
      <c r="T91" s="7">
        <v>5604.82</v>
      </c>
      <c r="U91" s="7">
        <v>0.0</v>
      </c>
    </row>
    <row r="92">
      <c r="A92" s="9"/>
      <c r="B92" s="10">
        <f t="shared" ref="B92:J92" si="36">AVERAGE(B89:B91)</f>
        <v>16298.53333</v>
      </c>
      <c r="C92" s="10">
        <f t="shared" si="36"/>
        <v>16285.48667</v>
      </c>
      <c r="D92" s="10">
        <f t="shared" si="36"/>
        <v>11.35666667</v>
      </c>
      <c r="E92" s="10">
        <f t="shared" si="36"/>
        <v>16034.86667</v>
      </c>
      <c r="F92" s="10">
        <f t="shared" si="36"/>
        <v>15940.18667</v>
      </c>
      <c r="G92" s="10">
        <f t="shared" si="36"/>
        <v>73.53333333</v>
      </c>
      <c r="H92" s="14">
        <f t="shared" si="36"/>
        <v>16328.05333</v>
      </c>
      <c r="I92" s="10">
        <f t="shared" si="36"/>
        <v>16312.85667</v>
      </c>
      <c r="J92" s="10">
        <f t="shared" si="36"/>
        <v>22.26333333</v>
      </c>
      <c r="L92" s="9"/>
      <c r="M92" s="10">
        <f t="shared" ref="M92:U92" si="37">AVERAGE(M89:M91)</f>
        <v>5417.986667</v>
      </c>
      <c r="N92" s="10">
        <f t="shared" si="37"/>
        <v>5411.883333</v>
      </c>
      <c r="O92" s="10">
        <f t="shared" si="37"/>
        <v>6.216666667</v>
      </c>
      <c r="P92" s="10">
        <f t="shared" si="37"/>
        <v>5310.036667</v>
      </c>
      <c r="Q92" s="10">
        <f t="shared" si="37"/>
        <v>5258.403333</v>
      </c>
      <c r="R92" s="10">
        <f t="shared" si="37"/>
        <v>35.54</v>
      </c>
      <c r="S92" s="14">
        <f t="shared" si="37"/>
        <v>5439.45</v>
      </c>
      <c r="T92" s="10">
        <f t="shared" si="37"/>
        <v>5429.296667</v>
      </c>
      <c r="U92" s="10">
        <f t="shared" si="37"/>
        <v>6.003333333</v>
      </c>
    </row>
    <row r="93">
      <c r="A93" s="7" t="s">
        <v>48</v>
      </c>
      <c r="B93" s="8">
        <v>17117.1</v>
      </c>
      <c r="C93" s="7">
        <v>17109.66</v>
      </c>
      <c r="D93" s="7">
        <v>6.28</v>
      </c>
      <c r="E93" s="8">
        <v>16897.3</v>
      </c>
      <c r="F93" s="7">
        <v>16791.44</v>
      </c>
      <c r="G93" s="7">
        <v>63.51</v>
      </c>
      <c r="H93" s="7">
        <v>17137.71</v>
      </c>
      <c r="I93" s="7">
        <v>17136.24</v>
      </c>
      <c r="J93" s="7">
        <v>2.94</v>
      </c>
      <c r="L93" s="7" t="s">
        <v>48</v>
      </c>
      <c r="M93" s="8">
        <v>5679.7</v>
      </c>
      <c r="N93" s="7">
        <v>5672.81</v>
      </c>
      <c r="O93" s="8">
        <v>7.2</v>
      </c>
      <c r="P93" s="7">
        <v>5483.58</v>
      </c>
      <c r="Q93" s="7">
        <v>5449.75</v>
      </c>
      <c r="R93" s="7">
        <v>27.37</v>
      </c>
      <c r="S93" s="7">
        <v>5692.52</v>
      </c>
      <c r="T93" s="7">
        <v>5691.99</v>
      </c>
      <c r="U93" s="7">
        <v>1.06</v>
      </c>
    </row>
    <row r="94">
      <c r="A94" s="7" t="s">
        <v>49</v>
      </c>
      <c r="B94" s="8">
        <v>18971.5</v>
      </c>
      <c r="C94" s="7" t="s">
        <v>50</v>
      </c>
      <c r="D94" s="7">
        <v>7.52</v>
      </c>
      <c r="E94" s="8">
        <v>18511.8</v>
      </c>
      <c r="F94" s="7">
        <v>18469.44</v>
      </c>
      <c r="G94" s="7">
        <v>45.54</v>
      </c>
      <c r="H94" s="7">
        <v>18974.18</v>
      </c>
      <c r="I94" s="7">
        <v>18968.64</v>
      </c>
      <c r="J94" s="7">
        <v>6.34</v>
      </c>
      <c r="L94" s="7" t="s">
        <v>49</v>
      </c>
      <c r="M94" s="7">
        <v>6023.49</v>
      </c>
      <c r="N94" s="7">
        <v>6018.54</v>
      </c>
      <c r="O94" s="7">
        <v>2.94</v>
      </c>
      <c r="P94" s="7">
        <v>5845.19</v>
      </c>
      <c r="Q94" s="7">
        <v>5827.04</v>
      </c>
      <c r="R94" s="7">
        <v>14.67</v>
      </c>
      <c r="S94" s="7">
        <v>6037.67</v>
      </c>
      <c r="T94" s="7">
        <v>6033.92</v>
      </c>
      <c r="U94" s="7">
        <v>1.88</v>
      </c>
    </row>
    <row r="95">
      <c r="A95" s="7" t="s">
        <v>51</v>
      </c>
      <c r="B95" s="8">
        <v>16778.7</v>
      </c>
      <c r="C95" s="7">
        <v>16768.86</v>
      </c>
      <c r="D95" s="7">
        <v>12.09</v>
      </c>
      <c r="E95" s="8">
        <v>16439.6</v>
      </c>
      <c r="F95" s="7">
        <v>16385.64</v>
      </c>
      <c r="G95" s="8">
        <v>33.8</v>
      </c>
      <c r="H95" s="7">
        <v>16832.25</v>
      </c>
      <c r="I95" s="7">
        <v>16810.49</v>
      </c>
      <c r="J95" s="7">
        <v>17.41</v>
      </c>
      <c r="L95" s="7" t="s">
        <v>51</v>
      </c>
      <c r="M95" s="7">
        <v>5090.53</v>
      </c>
      <c r="N95" s="8">
        <v>5089.4</v>
      </c>
      <c r="O95" s="7">
        <v>1.25</v>
      </c>
      <c r="P95" s="7">
        <v>4927.93</v>
      </c>
      <c r="Q95" s="7">
        <v>4865.44</v>
      </c>
      <c r="R95" s="7">
        <v>42.75</v>
      </c>
      <c r="S95" s="8">
        <v>5139.6</v>
      </c>
      <c r="T95" s="7">
        <v>5112.07</v>
      </c>
      <c r="U95" s="7">
        <v>15.43</v>
      </c>
    </row>
    <row r="96">
      <c r="A96" s="9"/>
      <c r="B96" s="10">
        <f t="shared" ref="B96:J96" si="38">AVERAGE(B93:B95)</f>
        <v>17622.43333</v>
      </c>
      <c r="C96" s="9">
        <f t="shared" si="38"/>
        <v>16939.26</v>
      </c>
      <c r="D96" s="9">
        <f t="shared" si="38"/>
        <v>8.63</v>
      </c>
      <c r="E96" s="10">
        <f t="shared" si="38"/>
        <v>17282.9</v>
      </c>
      <c r="F96" s="10">
        <f t="shared" si="38"/>
        <v>17215.50667</v>
      </c>
      <c r="G96" s="10">
        <f t="shared" si="38"/>
        <v>47.61666667</v>
      </c>
      <c r="H96" s="14">
        <f t="shared" si="38"/>
        <v>17648.04667</v>
      </c>
      <c r="I96" s="10">
        <f t="shared" si="38"/>
        <v>17638.45667</v>
      </c>
      <c r="J96" s="10">
        <f t="shared" si="38"/>
        <v>8.896666667</v>
      </c>
      <c r="L96" s="9"/>
      <c r="M96" s="10">
        <f t="shared" ref="M96:U96" si="39">AVERAGE(M93:M95)</f>
        <v>5597.906667</v>
      </c>
      <c r="N96" s="10">
        <f t="shared" si="39"/>
        <v>5593.583333</v>
      </c>
      <c r="O96" s="10">
        <f t="shared" si="39"/>
        <v>3.796666667</v>
      </c>
      <c r="P96" s="10">
        <f t="shared" si="39"/>
        <v>5418.9</v>
      </c>
      <c r="Q96" s="10">
        <f t="shared" si="39"/>
        <v>5380.743333</v>
      </c>
      <c r="R96" s="10">
        <f t="shared" si="39"/>
        <v>28.26333333</v>
      </c>
      <c r="S96" s="14">
        <f t="shared" si="39"/>
        <v>5623.263333</v>
      </c>
      <c r="T96" s="9">
        <f t="shared" si="39"/>
        <v>5612.66</v>
      </c>
      <c r="U96" s="10">
        <f t="shared" si="39"/>
        <v>6.123333333</v>
      </c>
    </row>
    <row r="97">
      <c r="A97" s="7" t="s">
        <v>52</v>
      </c>
      <c r="B97" s="8">
        <v>27335.2</v>
      </c>
      <c r="C97" s="8">
        <v>27317.8</v>
      </c>
      <c r="D97" s="7">
        <v>18.58</v>
      </c>
      <c r="E97" s="8">
        <v>26934.8</v>
      </c>
      <c r="F97" s="7">
        <v>26812.16</v>
      </c>
      <c r="G97" s="7">
        <v>78.32</v>
      </c>
      <c r="H97" s="7">
        <v>27382.07</v>
      </c>
      <c r="I97" s="8">
        <v>27362.4</v>
      </c>
      <c r="J97" s="7">
        <v>30.55</v>
      </c>
      <c r="L97" s="7" t="s">
        <v>52</v>
      </c>
      <c r="M97" s="7">
        <v>8389.69</v>
      </c>
      <c r="N97" s="7">
        <v>8377.49</v>
      </c>
      <c r="O97" s="7">
        <v>12.65</v>
      </c>
      <c r="P97" s="7">
        <v>8270.77</v>
      </c>
      <c r="Q97" s="7">
        <v>8241.62</v>
      </c>
      <c r="R97" s="8">
        <v>22.8</v>
      </c>
      <c r="S97" s="8">
        <v>8409.8</v>
      </c>
      <c r="T97" s="7">
        <v>8375.85</v>
      </c>
      <c r="U97" s="7">
        <v>17.57</v>
      </c>
    </row>
    <row r="98">
      <c r="A98" s="7" t="s">
        <v>53</v>
      </c>
      <c r="B98" s="8">
        <v>22909.7</v>
      </c>
      <c r="C98" s="7">
        <v>22887.58</v>
      </c>
      <c r="D98" s="7">
        <v>21.88</v>
      </c>
      <c r="E98" s="8">
        <v>22582.6</v>
      </c>
      <c r="F98" s="7">
        <v>22416.82</v>
      </c>
      <c r="G98" s="7">
        <v>130.69</v>
      </c>
      <c r="H98" s="7">
        <v>22971.63</v>
      </c>
      <c r="I98" s="7">
        <v>22911.57</v>
      </c>
      <c r="J98" s="7">
        <v>52.81</v>
      </c>
      <c r="L98" s="7" t="s">
        <v>53</v>
      </c>
      <c r="M98" s="7">
        <v>8509.48</v>
      </c>
      <c r="N98" s="7">
        <v>8504.17</v>
      </c>
      <c r="O98" s="7">
        <v>9.07</v>
      </c>
      <c r="P98" s="7">
        <v>8368.15</v>
      </c>
      <c r="Q98" s="7">
        <v>8288.17</v>
      </c>
      <c r="R98" s="7">
        <v>72.85</v>
      </c>
      <c r="S98" s="7">
        <v>8521.25</v>
      </c>
      <c r="T98" s="7">
        <v>8473.56</v>
      </c>
      <c r="U98" s="7">
        <v>39.39</v>
      </c>
    </row>
    <row r="99">
      <c r="A99" s="7" t="s">
        <v>54</v>
      </c>
      <c r="B99" s="8">
        <v>30672.5</v>
      </c>
      <c r="C99" s="7">
        <v>30657.52</v>
      </c>
      <c r="D99" s="7">
        <v>15.76</v>
      </c>
      <c r="E99" s="8">
        <v>30346.0</v>
      </c>
      <c r="F99" s="7">
        <v>31317.22</v>
      </c>
      <c r="G99" s="7">
        <v>17.89</v>
      </c>
      <c r="H99" s="8">
        <v>30750.4</v>
      </c>
      <c r="I99" s="7">
        <v>30656.84</v>
      </c>
      <c r="J99" s="7">
        <v>54.59</v>
      </c>
      <c r="L99" s="7" t="s">
        <v>54</v>
      </c>
      <c r="M99" s="15">
        <v>9991.7</v>
      </c>
      <c r="N99" s="7">
        <v>9978.37</v>
      </c>
      <c r="O99" s="7">
        <v>9.58</v>
      </c>
      <c r="P99" s="7">
        <v>9873.26</v>
      </c>
      <c r="Q99" s="8">
        <v>9830.9</v>
      </c>
      <c r="R99" s="7">
        <v>41.12</v>
      </c>
      <c r="S99" s="7">
        <v>9988.91</v>
      </c>
      <c r="T99" s="7">
        <v>9987.71</v>
      </c>
      <c r="U99" s="7">
        <v>2.39</v>
      </c>
    </row>
    <row r="100">
      <c r="A100" s="9"/>
      <c r="B100" s="10">
        <f t="shared" ref="B100:J100" si="40">AVERAGEA(B97:B99)</f>
        <v>26972.46667</v>
      </c>
      <c r="C100" s="10">
        <f t="shared" si="40"/>
        <v>26954.3</v>
      </c>
      <c r="D100" s="10">
        <f t="shared" si="40"/>
        <v>18.74</v>
      </c>
      <c r="E100" s="10">
        <f t="shared" si="40"/>
        <v>26621.13333</v>
      </c>
      <c r="F100" s="10">
        <f t="shared" si="40"/>
        <v>26848.73333</v>
      </c>
      <c r="G100" s="10">
        <f t="shared" si="40"/>
        <v>75.63333333</v>
      </c>
      <c r="H100" s="14">
        <f t="shared" si="40"/>
        <v>27034.7</v>
      </c>
      <c r="I100" s="10">
        <f t="shared" si="40"/>
        <v>26976.93667</v>
      </c>
      <c r="J100" s="10">
        <f t="shared" si="40"/>
        <v>45.98333333</v>
      </c>
      <c r="L100" s="9"/>
      <c r="M100" s="10">
        <f t="shared" ref="M100:U100" si="41">AVERAGE(M97:M99)</f>
        <v>8963.623333</v>
      </c>
      <c r="N100" s="10">
        <f t="shared" si="41"/>
        <v>8953.343333</v>
      </c>
      <c r="O100" s="10">
        <f t="shared" si="41"/>
        <v>10.43333333</v>
      </c>
      <c r="P100" s="10">
        <f t="shared" si="41"/>
        <v>8837.393333</v>
      </c>
      <c r="Q100" s="10">
        <f t="shared" si="41"/>
        <v>8786.896667</v>
      </c>
      <c r="R100" s="10">
        <f t="shared" si="41"/>
        <v>45.59</v>
      </c>
      <c r="S100" s="14">
        <f t="shared" si="41"/>
        <v>8973.32</v>
      </c>
      <c r="T100" s="10">
        <f t="shared" si="41"/>
        <v>8945.706667</v>
      </c>
      <c r="U100" s="10">
        <f t="shared" si="41"/>
        <v>19.78333333</v>
      </c>
    </row>
    <row r="101">
      <c r="A101" s="7" t="s">
        <v>55</v>
      </c>
      <c r="B101" s="8">
        <v>38156.3</v>
      </c>
      <c r="C101" s="8">
        <v>37967.8</v>
      </c>
      <c r="D101" s="7">
        <v>138.39</v>
      </c>
      <c r="E101" s="8">
        <v>37258.4</v>
      </c>
      <c r="F101" s="8">
        <v>37122.6</v>
      </c>
      <c r="G101" s="8">
        <v>86.6</v>
      </c>
      <c r="H101" s="7">
        <v>37810.41</v>
      </c>
      <c r="I101" s="7">
        <v>37790.08</v>
      </c>
      <c r="J101" s="7">
        <v>11.87</v>
      </c>
      <c r="L101" s="7" t="s">
        <v>55</v>
      </c>
      <c r="M101" s="8">
        <v>12972.4</v>
      </c>
      <c r="N101" s="7">
        <v>12937.94</v>
      </c>
      <c r="O101" s="7">
        <v>20.13</v>
      </c>
      <c r="P101" s="8">
        <v>12660.3</v>
      </c>
      <c r="Q101" s="7">
        <v>12572.74</v>
      </c>
      <c r="R101" s="7">
        <v>58.19</v>
      </c>
      <c r="S101" s="7">
        <v>13066.16</v>
      </c>
      <c r="T101" s="7">
        <v>13052.49</v>
      </c>
      <c r="U101" s="7">
        <v>11.82</v>
      </c>
    </row>
    <row r="102">
      <c r="A102" s="7" t="s">
        <v>56</v>
      </c>
      <c r="B102" s="8">
        <v>37161.9</v>
      </c>
      <c r="C102" s="7">
        <v>37004.44</v>
      </c>
      <c r="D102" s="7">
        <v>93.34</v>
      </c>
      <c r="E102" s="8">
        <v>35112.6</v>
      </c>
      <c r="F102" s="8">
        <v>34943.6</v>
      </c>
      <c r="G102" s="7">
        <v>170.28</v>
      </c>
      <c r="H102" s="7">
        <v>37344.02</v>
      </c>
      <c r="I102" s="8">
        <v>37321.9</v>
      </c>
      <c r="J102" s="7">
        <v>23.09</v>
      </c>
      <c r="L102" s="7" t="s">
        <v>56</v>
      </c>
      <c r="M102" s="8">
        <v>13537.3</v>
      </c>
      <c r="N102" s="7">
        <v>13533.26</v>
      </c>
      <c r="O102" s="7">
        <v>4.85</v>
      </c>
      <c r="P102" s="8">
        <v>12906.8</v>
      </c>
      <c r="Q102" s="7">
        <v>12863.62</v>
      </c>
      <c r="R102" s="7">
        <v>47.68</v>
      </c>
      <c r="S102" s="7">
        <v>13696.76</v>
      </c>
      <c r="T102" s="7">
        <v>13647.15</v>
      </c>
      <c r="U102" s="7">
        <v>47.99</v>
      </c>
    </row>
    <row r="103">
      <c r="A103" s="7" t="s">
        <v>57</v>
      </c>
      <c r="B103" s="8">
        <v>44009.8</v>
      </c>
      <c r="C103" s="7">
        <v>43959.14</v>
      </c>
      <c r="D103" s="7">
        <v>32.54</v>
      </c>
      <c r="E103" s="8">
        <v>42313.5</v>
      </c>
      <c r="F103" s="7">
        <v>42178.86</v>
      </c>
      <c r="G103" s="7">
        <v>94.05</v>
      </c>
      <c r="H103" s="7">
        <v>44248.38</v>
      </c>
      <c r="I103" s="8">
        <v>44205.3</v>
      </c>
      <c r="J103" s="7">
        <v>54.52</v>
      </c>
      <c r="L103" s="7" t="s">
        <v>57</v>
      </c>
      <c r="M103" s="8">
        <v>13889.5</v>
      </c>
      <c r="N103" s="7">
        <v>13863.22</v>
      </c>
      <c r="O103" s="7">
        <v>32.72</v>
      </c>
      <c r="P103" s="8">
        <v>13203.4</v>
      </c>
      <c r="Q103" s="7">
        <v>13091.72</v>
      </c>
      <c r="R103" s="7">
        <v>70.66</v>
      </c>
      <c r="S103" s="7">
        <v>13984.88</v>
      </c>
      <c r="T103" s="7">
        <v>13984.14</v>
      </c>
      <c r="U103" s="8">
        <v>0.9</v>
      </c>
    </row>
    <row r="104">
      <c r="A104" s="9"/>
      <c r="B104" s="10">
        <f t="shared" ref="B104:J104" si="42">AVERAGE(B101:B103)</f>
        <v>39776</v>
      </c>
      <c r="C104" s="10">
        <f t="shared" si="42"/>
        <v>39643.79333</v>
      </c>
      <c r="D104" s="9">
        <f t="shared" si="42"/>
        <v>88.09</v>
      </c>
      <c r="E104" s="10">
        <f t="shared" si="42"/>
        <v>38228.16667</v>
      </c>
      <c r="F104" s="10">
        <f t="shared" si="42"/>
        <v>38081.68667</v>
      </c>
      <c r="G104" s="10">
        <f t="shared" si="42"/>
        <v>116.9766667</v>
      </c>
      <c r="H104" s="14">
        <f t="shared" si="42"/>
        <v>39800.93667</v>
      </c>
      <c r="I104" s="10">
        <f t="shared" si="42"/>
        <v>39772.42667</v>
      </c>
      <c r="J104" s="10">
        <f t="shared" si="42"/>
        <v>29.82666667</v>
      </c>
      <c r="L104" s="9"/>
      <c r="M104" s="10">
        <f t="shared" ref="M104:U104" si="43">AVERAGE(M101:M103)</f>
        <v>13466.4</v>
      </c>
      <c r="N104" s="10">
        <f t="shared" si="43"/>
        <v>13444.80667</v>
      </c>
      <c r="O104" s="10">
        <f t="shared" si="43"/>
        <v>19.23333333</v>
      </c>
      <c r="P104" s="10">
        <f t="shared" si="43"/>
        <v>12923.5</v>
      </c>
      <c r="Q104" s="10">
        <f t="shared" si="43"/>
        <v>12842.69333</v>
      </c>
      <c r="R104" s="10">
        <f t="shared" si="43"/>
        <v>58.84333333</v>
      </c>
      <c r="S104" s="14">
        <f t="shared" si="43"/>
        <v>13582.6</v>
      </c>
      <c r="T104" s="9">
        <f t="shared" si="43"/>
        <v>13561.26</v>
      </c>
      <c r="U104" s="10">
        <f t="shared" si="43"/>
        <v>20.23666667</v>
      </c>
    </row>
    <row r="105">
      <c r="A105" s="7" t="s">
        <v>58</v>
      </c>
      <c r="B105" s="8">
        <v>31507.9</v>
      </c>
      <c r="C105" s="8">
        <v>31480.3</v>
      </c>
      <c r="D105" s="8">
        <v>151.33</v>
      </c>
      <c r="E105" s="8">
        <v>30487.5</v>
      </c>
      <c r="F105" s="7">
        <v>30419.32</v>
      </c>
      <c r="G105" s="7">
        <v>42.88</v>
      </c>
      <c r="H105" s="7">
        <v>31698.47</v>
      </c>
      <c r="I105" s="7">
        <v>31694.08</v>
      </c>
      <c r="J105" s="7">
        <v>3.56</v>
      </c>
      <c r="L105" s="7" t="s">
        <v>58</v>
      </c>
      <c r="M105" s="8">
        <v>11236.1</v>
      </c>
      <c r="N105" s="7">
        <v>11219.44</v>
      </c>
      <c r="O105" s="7">
        <v>15.75</v>
      </c>
      <c r="P105" s="8">
        <v>10720.6</v>
      </c>
      <c r="Q105" s="7">
        <v>10687.96</v>
      </c>
      <c r="R105" s="8">
        <v>26.6</v>
      </c>
      <c r="S105" s="7">
        <v>11411.23</v>
      </c>
      <c r="T105" s="7">
        <v>11400.94</v>
      </c>
      <c r="U105" s="7">
        <v>8.91</v>
      </c>
    </row>
    <row r="106">
      <c r="A106" s="7" t="s">
        <v>59</v>
      </c>
      <c r="B106" s="8">
        <v>36282.2</v>
      </c>
      <c r="C106" s="7">
        <v>36252.88</v>
      </c>
      <c r="D106" s="7">
        <v>24.99</v>
      </c>
      <c r="E106" s="8">
        <v>35131.8</v>
      </c>
      <c r="F106" s="8">
        <v>35035.6</v>
      </c>
      <c r="G106" s="7">
        <v>101.49</v>
      </c>
      <c r="H106" s="7">
        <v>36493.78</v>
      </c>
      <c r="I106" s="7">
        <v>36465.04</v>
      </c>
      <c r="J106" s="8">
        <v>20.8</v>
      </c>
      <c r="L106" s="7" t="s">
        <v>59</v>
      </c>
      <c r="M106" s="8">
        <v>12439.2</v>
      </c>
      <c r="N106" s="7">
        <v>12421.56</v>
      </c>
      <c r="O106" s="7">
        <v>17.64</v>
      </c>
      <c r="P106" s="8">
        <v>11750.7</v>
      </c>
      <c r="Q106" s="7">
        <v>11714.42</v>
      </c>
      <c r="R106" s="7">
        <v>28.84</v>
      </c>
      <c r="S106" s="7">
        <v>12505.06</v>
      </c>
      <c r="T106" s="7">
        <v>12496.87</v>
      </c>
      <c r="U106" s="8">
        <v>11.1</v>
      </c>
    </row>
    <row r="107">
      <c r="A107" s="7" t="s">
        <v>60</v>
      </c>
      <c r="B107" s="8">
        <v>37019.6</v>
      </c>
      <c r="C107" s="8">
        <v>36970.6</v>
      </c>
      <c r="D107" s="7">
        <v>40.26</v>
      </c>
      <c r="E107" s="8">
        <v>36052.7</v>
      </c>
      <c r="F107" s="7">
        <v>35989.02</v>
      </c>
      <c r="G107" s="7">
        <v>51.99</v>
      </c>
      <c r="H107" s="7">
        <v>37328.13</v>
      </c>
      <c r="I107" s="7">
        <v>37299.71</v>
      </c>
      <c r="J107" s="7">
        <v>24.28</v>
      </c>
      <c r="L107" s="7" t="s">
        <v>60</v>
      </c>
      <c r="M107" s="8">
        <v>10956.8</v>
      </c>
      <c r="N107" s="7">
        <v>10908.42</v>
      </c>
      <c r="O107" s="7">
        <v>33.72</v>
      </c>
      <c r="P107" s="8">
        <v>10271.5</v>
      </c>
      <c r="Q107" s="8">
        <v>10199.34</v>
      </c>
      <c r="R107" s="7">
        <v>47.57</v>
      </c>
      <c r="S107" s="7">
        <v>10969.63</v>
      </c>
      <c r="T107" s="7">
        <v>10964.85</v>
      </c>
      <c r="U107" s="7">
        <v>4.31</v>
      </c>
    </row>
    <row r="108">
      <c r="A108" s="9"/>
      <c r="B108" s="10">
        <f t="shared" ref="B108:J108" si="44">AVERAGE(B105:B107)</f>
        <v>34936.56667</v>
      </c>
      <c r="C108" s="10">
        <f t="shared" si="44"/>
        <v>34901.26</v>
      </c>
      <c r="D108" s="10">
        <f t="shared" si="44"/>
        <v>72.19333333</v>
      </c>
      <c r="E108" s="10">
        <f t="shared" si="44"/>
        <v>33890.66667</v>
      </c>
      <c r="F108" s="10">
        <f t="shared" si="44"/>
        <v>33814.64667</v>
      </c>
      <c r="G108" s="10">
        <f t="shared" si="44"/>
        <v>65.45333333</v>
      </c>
      <c r="H108" s="14">
        <f t="shared" si="44"/>
        <v>35173.46</v>
      </c>
      <c r="I108" s="10">
        <f t="shared" si="44"/>
        <v>35152.94333</v>
      </c>
      <c r="J108" s="10">
        <f t="shared" si="44"/>
        <v>16.21333333</v>
      </c>
      <c r="L108" s="9"/>
      <c r="M108" s="10">
        <f t="shared" ref="M108:U108" si="45">AVERAGE(M105:M107)</f>
        <v>11544.03333</v>
      </c>
      <c r="N108" s="10">
        <f t="shared" si="45"/>
        <v>11516.47333</v>
      </c>
      <c r="O108" s="10">
        <f t="shared" si="45"/>
        <v>22.37</v>
      </c>
      <c r="P108" s="10">
        <f t="shared" si="45"/>
        <v>10914.26667</v>
      </c>
      <c r="Q108" s="10">
        <f t="shared" si="45"/>
        <v>10867.24</v>
      </c>
      <c r="R108" s="10">
        <f t="shared" si="45"/>
        <v>34.33666667</v>
      </c>
      <c r="S108" s="14">
        <f t="shared" si="45"/>
        <v>11628.64</v>
      </c>
      <c r="T108" s="10">
        <f t="shared" si="45"/>
        <v>11620.88667</v>
      </c>
      <c r="U108" s="10">
        <f t="shared" si="45"/>
        <v>8.106666667</v>
      </c>
    </row>
    <row r="109">
      <c r="A109" s="7" t="s">
        <v>61</v>
      </c>
      <c r="B109" s="8">
        <v>43485.3</v>
      </c>
      <c r="C109" s="7">
        <v>43446.82</v>
      </c>
      <c r="D109" s="7">
        <v>36.82</v>
      </c>
      <c r="E109" s="8">
        <v>42726.1</v>
      </c>
      <c r="F109" s="7">
        <v>42576.84</v>
      </c>
      <c r="G109" s="7">
        <v>117.24</v>
      </c>
      <c r="H109" s="7">
        <v>43778.02</v>
      </c>
      <c r="I109" s="7">
        <v>43738.02</v>
      </c>
      <c r="J109" s="7">
        <v>30.61</v>
      </c>
      <c r="L109" s="7" t="s">
        <v>61</v>
      </c>
      <c r="M109" s="8">
        <v>13652.1</v>
      </c>
      <c r="N109" s="7">
        <v>13622.76</v>
      </c>
      <c r="O109" s="7">
        <v>23.97</v>
      </c>
      <c r="P109" s="8">
        <v>13272.2</v>
      </c>
      <c r="Q109" s="8">
        <v>13157.3</v>
      </c>
      <c r="R109" s="7">
        <v>65.63</v>
      </c>
      <c r="S109" s="7">
        <v>13779.15</v>
      </c>
      <c r="T109" s="7">
        <v>13740.12</v>
      </c>
      <c r="U109" s="7">
        <v>32.79</v>
      </c>
    </row>
    <row r="110">
      <c r="A110" s="7" t="s">
        <v>62</v>
      </c>
      <c r="B110" s="8">
        <v>37969.4</v>
      </c>
      <c r="C110" s="7">
        <v>37934.98</v>
      </c>
      <c r="D110" s="7">
        <v>36.82</v>
      </c>
      <c r="E110" s="8">
        <v>37036.1</v>
      </c>
      <c r="F110" s="8">
        <v>36924.94</v>
      </c>
      <c r="G110" s="8">
        <v>138.6</v>
      </c>
      <c r="H110" s="7">
        <v>38369.19</v>
      </c>
      <c r="I110" s="7">
        <v>38316.82</v>
      </c>
      <c r="J110" s="7">
        <v>41.84</v>
      </c>
      <c r="L110" s="7" t="s">
        <v>62</v>
      </c>
      <c r="M110" s="8">
        <v>13515.6</v>
      </c>
      <c r="N110" s="7">
        <v>13503.14</v>
      </c>
      <c r="O110" s="8">
        <v>15.0</v>
      </c>
      <c r="P110" s="8">
        <v>13030.7</v>
      </c>
      <c r="Q110" s="7">
        <v>12973.24</v>
      </c>
      <c r="R110" s="7">
        <v>63.96</v>
      </c>
      <c r="S110" s="7">
        <v>13633.62</v>
      </c>
      <c r="T110" s="7">
        <v>13618.78</v>
      </c>
      <c r="U110" s="8">
        <v>12.8</v>
      </c>
    </row>
    <row r="111">
      <c r="A111" s="7" t="s">
        <v>63</v>
      </c>
      <c r="B111" s="8">
        <v>45616.9</v>
      </c>
      <c r="C111" s="7">
        <v>45543.88</v>
      </c>
      <c r="D111" s="7">
        <v>59.77</v>
      </c>
      <c r="E111" s="8">
        <v>44584.5</v>
      </c>
      <c r="F111" s="7">
        <v>44469.06</v>
      </c>
      <c r="G111" s="7">
        <v>69.25</v>
      </c>
      <c r="H111" s="7">
        <v>45887.03</v>
      </c>
      <c r="I111" s="7">
        <v>45830.32</v>
      </c>
      <c r="J111" s="8">
        <v>33.4</v>
      </c>
      <c r="L111" s="7" t="s">
        <v>63</v>
      </c>
      <c r="M111" s="8">
        <v>15104.8</v>
      </c>
      <c r="N111" s="7">
        <v>15080.92</v>
      </c>
      <c r="O111" s="7">
        <v>16.65</v>
      </c>
      <c r="P111" s="8">
        <v>14620.0</v>
      </c>
      <c r="Q111" s="7">
        <v>14573.16</v>
      </c>
      <c r="R111" s="7">
        <v>38.09</v>
      </c>
      <c r="S111" s="7">
        <v>15227.11</v>
      </c>
      <c r="T111" s="7">
        <v>15180.92</v>
      </c>
      <c r="U111" s="7">
        <v>26.67</v>
      </c>
    </row>
    <row r="112">
      <c r="A112" s="2"/>
      <c r="B112" s="10">
        <f t="shared" ref="B112:J112" si="46">AVERAGE(B109:B111)</f>
        <v>42357.2</v>
      </c>
      <c r="C112" s="9">
        <f t="shared" si="46"/>
        <v>42308.56</v>
      </c>
      <c r="D112" s="9">
        <f t="shared" si="46"/>
        <v>44.47</v>
      </c>
      <c r="E112" s="10">
        <f t="shared" si="46"/>
        <v>41448.9</v>
      </c>
      <c r="F112" s="10">
        <f t="shared" si="46"/>
        <v>41323.61333</v>
      </c>
      <c r="G112" s="10">
        <f t="shared" si="46"/>
        <v>108.3633333</v>
      </c>
      <c r="H112" s="14">
        <f t="shared" si="46"/>
        <v>42678.08</v>
      </c>
      <c r="I112" s="10">
        <f t="shared" si="46"/>
        <v>42628.38667</v>
      </c>
      <c r="J112" s="10">
        <f t="shared" si="46"/>
        <v>35.28333333</v>
      </c>
      <c r="L112" s="2"/>
      <c r="M112" s="10">
        <f t="shared" ref="M112:U112" si="47">AVERAGE(M109:M111)</f>
        <v>14090.83333</v>
      </c>
      <c r="N112" s="9">
        <f t="shared" si="47"/>
        <v>14068.94</v>
      </c>
      <c r="O112" s="9">
        <f t="shared" si="47"/>
        <v>18.54</v>
      </c>
      <c r="P112" s="10">
        <f t="shared" si="47"/>
        <v>13640.96667</v>
      </c>
      <c r="Q112" s="10">
        <f t="shared" si="47"/>
        <v>13567.9</v>
      </c>
      <c r="R112" s="10">
        <f t="shared" si="47"/>
        <v>55.89333333</v>
      </c>
      <c r="S112" s="14">
        <f t="shared" si="47"/>
        <v>14213.29333</v>
      </c>
      <c r="T112" s="10">
        <f t="shared" si="47"/>
        <v>14179.94</v>
      </c>
      <c r="U112" s="10">
        <f t="shared" si="47"/>
        <v>24.08666667</v>
      </c>
    </row>
    <row r="114">
      <c r="A114" s="3" t="s">
        <v>64</v>
      </c>
      <c r="B114" s="4"/>
      <c r="C114" s="4"/>
      <c r="D114" s="4"/>
      <c r="E114" s="4"/>
      <c r="F114" s="4"/>
      <c r="G114" s="4"/>
      <c r="H114" s="4"/>
      <c r="I114" s="4"/>
      <c r="J114" s="5"/>
      <c r="L114" s="3" t="s">
        <v>65</v>
      </c>
      <c r="M114" s="4"/>
      <c r="N114" s="4"/>
      <c r="O114" s="4"/>
      <c r="P114" s="4"/>
      <c r="Q114" s="4"/>
      <c r="R114" s="4"/>
      <c r="S114" s="4"/>
      <c r="T114" s="4"/>
      <c r="U114" s="5"/>
    </row>
    <row r="115">
      <c r="A115" s="2"/>
      <c r="B115" s="13"/>
      <c r="C115" s="4"/>
      <c r="D115" s="4"/>
      <c r="E115" s="4"/>
      <c r="F115" s="4"/>
      <c r="G115" s="4"/>
      <c r="H115" s="4"/>
      <c r="I115" s="4"/>
      <c r="J115" s="5"/>
      <c r="L115" s="2"/>
      <c r="M115" s="13"/>
      <c r="N115" s="4"/>
      <c r="O115" s="4"/>
      <c r="P115" s="4"/>
      <c r="Q115" s="4"/>
      <c r="R115" s="4"/>
      <c r="S115" s="4"/>
      <c r="T115" s="4"/>
      <c r="U115" s="5"/>
    </row>
    <row r="116">
      <c r="A116" s="6" t="s">
        <v>5</v>
      </c>
      <c r="B116" s="3" t="s">
        <v>3</v>
      </c>
      <c r="C116" s="4"/>
      <c r="D116" s="5"/>
      <c r="E116" s="3" t="s">
        <v>44</v>
      </c>
      <c r="F116" s="4"/>
      <c r="G116" s="5"/>
      <c r="H116" s="3" t="s">
        <v>4</v>
      </c>
      <c r="I116" s="4"/>
      <c r="J116" s="5"/>
      <c r="L116" s="6" t="s">
        <v>5</v>
      </c>
      <c r="M116" s="3" t="s">
        <v>3</v>
      </c>
      <c r="N116" s="4"/>
      <c r="O116" s="5"/>
      <c r="P116" s="3" t="s">
        <v>44</v>
      </c>
      <c r="Q116" s="4"/>
      <c r="R116" s="5"/>
      <c r="S116" s="3" t="s">
        <v>4</v>
      </c>
      <c r="T116" s="4"/>
      <c r="U116" s="5"/>
    </row>
    <row r="117">
      <c r="A117" s="7"/>
      <c r="B117" s="7" t="s">
        <v>6</v>
      </c>
      <c r="C117" s="7" t="s">
        <v>9</v>
      </c>
      <c r="D117" s="7" t="s">
        <v>10</v>
      </c>
      <c r="E117" s="7" t="s">
        <v>6</v>
      </c>
      <c r="F117" s="7" t="s">
        <v>9</v>
      </c>
      <c r="G117" s="7" t="s">
        <v>10</v>
      </c>
      <c r="H117" s="7" t="s">
        <v>6</v>
      </c>
      <c r="I117" s="7" t="s">
        <v>9</v>
      </c>
      <c r="J117" s="7" t="s">
        <v>10</v>
      </c>
      <c r="L117" s="7"/>
      <c r="M117" s="7" t="s">
        <v>6</v>
      </c>
      <c r="N117" s="7" t="s">
        <v>9</v>
      </c>
      <c r="O117" s="7" t="s">
        <v>10</v>
      </c>
      <c r="P117" s="7" t="s">
        <v>6</v>
      </c>
      <c r="Q117" s="7" t="s">
        <v>9</v>
      </c>
      <c r="R117" s="7" t="s">
        <v>10</v>
      </c>
      <c r="S117" s="7" t="s">
        <v>6</v>
      </c>
      <c r="T117" s="7" t="s">
        <v>9</v>
      </c>
      <c r="U117" s="7" t="s">
        <v>10</v>
      </c>
    </row>
    <row r="118">
      <c r="A118" s="7" t="s">
        <v>45</v>
      </c>
      <c r="B118" s="7">
        <v>5195.89</v>
      </c>
      <c r="C118" s="8">
        <v>5135.7</v>
      </c>
      <c r="D118" s="7">
        <v>41.78</v>
      </c>
      <c r="E118" s="7">
        <v>4985.76</v>
      </c>
      <c r="F118" s="7">
        <v>4928.81</v>
      </c>
      <c r="G118" s="7">
        <v>22.63</v>
      </c>
      <c r="H118" s="7">
        <v>5144.12</v>
      </c>
      <c r="I118" s="7">
        <v>5128.86</v>
      </c>
      <c r="J118" s="8">
        <v>14.7</v>
      </c>
      <c r="L118" s="7" t="s">
        <v>45</v>
      </c>
      <c r="M118" s="7">
        <v>3363.93</v>
      </c>
      <c r="N118" s="7">
        <v>3362.21</v>
      </c>
      <c r="O118" s="7">
        <v>1.57</v>
      </c>
      <c r="P118" s="7">
        <v>3270.83</v>
      </c>
      <c r="Q118" s="8">
        <v>3245.1</v>
      </c>
      <c r="R118" s="7">
        <v>16.09</v>
      </c>
      <c r="S118" s="8">
        <v>3383.47</v>
      </c>
      <c r="T118" s="7">
        <v>3381.34</v>
      </c>
      <c r="U118" s="7">
        <v>1.73</v>
      </c>
    </row>
    <row r="119">
      <c r="A119" s="7" t="s">
        <v>46</v>
      </c>
      <c r="B119" s="7">
        <v>5722.35</v>
      </c>
      <c r="C119" s="7">
        <v>5696.16</v>
      </c>
      <c r="D119" s="8">
        <v>16.2</v>
      </c>
      <c r="E119" s="7">
        <v>5547.25</v>
      </c>
      <c r="F119" s="7">
        <v>5487.74</v>
      </c>
      <c r="G119" s="7">
        <v>44.91</v>
      </c>
      <c r="H119" s="8">
        <v>5712.7</v>
      </c>
      <c r="I119" s="7">
        <v>5687.67</v>
      </c>
      <c r="J119" s="7">
        <v>17.21</v>
      </c>
      <c r="L119" s="7" t="s">
        <v>46</v>
      </c>
      <c r="M119" s="8">
        <v>3902.3</v>
      </c>
      <c r="N119" s="7">
        <v>3900.13</v>
      </c>
      <c r="O119" s="7">
        <v>1.75</v>
      </c>
      <c r="P119" s="7">
        <v>3807.43</v>
      </c>
      <c r="Q119" s="7">
        <v>3790.03</v>
      </c>
      <c r="R119" s="7">
        <v>12.95</v>
      </c>
      <c r="S119" s="7">
        <v>3905.24</v>
      </c>
      <c r="T119" s="7">
        <v>3899.56</v>
      </c>
      <c r="U119" s="7">
        <v>4.79</v>
      </c>
    </row>
    <row r="120">
      <c r="A120" s="7" t="s">
        <v>47</v>
      </c>
      <c r="B120" s="7">
        <v>5904.98</v>
      </c>
      <c r="C120" s="7">
        <v>5890.08</v>
      </c>
      <c r="D120" s="7">
        <v>14.34</v>
      </c>
      <c r="E120" s="7">
        <v>5732.13</v>
      </c>
      <c r="F120" s="7">
        <v>5684.92</v>
      </c>
      <c r="G120" s="7">
        <v>50.31</v>
      </c>
      <c r="H120" s="7">
        <v>5916.39</v>
      </c>
      <c r="I120" s="7">
        <v>5907.49</v>
      </c>
      <c r="J120" s="7">
        <v>12.37</v>
      </c>
      <c r="L120" s="7" t="s">
        <v>47</v>
      </c>
      <c r="M120" s="7">
        <v>3918.55</v>
      </c>
      <c r="N120" s="7">
        <v>3917.57</v>
      </c>
      <c r="O120" s="8">
        <v>0.9</v>
      </c>
      <c r="P120" s="8">
        <v>3855.1</v>
      </c>
      <c r="Q120" s="7">
        <v>3823.67</v>
      </c>
      <c r="R120" s="7">
        <v>26.83</v>
      </c>
      <c r="S120" s="8">
        <v>3928.2</v>
      </c>
      <c r="T120" s="7">
        <v>3916.01</v>
      </c>
      <c r="U120" s="7">
        <v>8.26</v>
      </c>
    </row>
    <row r="121">
      <c r="A121" s="9"/>
      <c r="B121" s="16">
        <f t="shared" ref="B121:J121" si="48">AVERAGE(B118:B120)</f>
        <v>5607.74</v>
      </c>
      <c r="C121" s="10">
        <f t="shared" si="48"/>
        <v>5573.98</v>
      </c>
      <c r="D121" s="10">
        <f t="shared" si="48"/>
        <v>24.10666667</v>
      </c>
      <c r="E121" s="10">
        <f t="shared" si="48"/>
        <v>5421.713333</v>
      </c>
      <c r="F121" s="10">
        <f t="shared" si="48"/>
        <v>5367.156667</v>
      </c>
      <c r="G121" s="10">
        <f t="shared" si="48"/>
        <v>39.28333333</v>
      </c>
      <c r="H121" s="9">
        <f t="shared" si="48"/>
        <v>5591.07</v>
      </c>
      <c r="I121" s="10">
        <f t="shared" si="48"/>
        <v>5574.673333</v>
      </c>
      <c r="J121" s="10">
        <f t="shared" si="48"/>
        <v>14.76</v>
      </c>
      <c r="L121" s="9"/>
      <c r="M121" s="9">
        <f t="shared" ref="M121:U121" si="49">AVERAGE(M118:M120)</f>
        <v>3728.26</v>
      </c>
      <c r="N121" s="10">
        <f t="shared" si="49"/>
        <v>3726.636667</v>
      </c>
      <c r="O121" s="10">
        <f t="shared" si="49"/>
        <v>1.406666667</v>
      </c>
      <c r="P121" s="10">
        <f t="shared" si="49"/>
        <v>3644.453333</v>
      </c>
      <c r="Q121" s="10">
        <f t="shared" si="49"/>
        <v>3619.6</v>
      </c>
      <c r="R121" s="10">
        <f t="shared" si="49"/>
        <v>18.62333333</v>
      </c>
      <c r="S121" s="14">
        <f t="shared" si="49"/>
        <v>3738.97</v>
      </c>
      <c r="T121" s="10">
        <f t="shared" si="49"/>
        <v>3732.303333</v>
      </c>
      <c r="U121" s="10">
        <f t="shared" si="49"/>
        <v>4.926666667</v>
      </c>
    </row>
    <row r="122">
      <c r="A122" s="7" t="s">
        <v>48</v>
      </c>
      <c r="B122" s="8">
        <v>4973.5</v>
      </c>
      <c r="C122" s="7">
        <v>4962.79</v>
      </c>
      <c r="D122" s="7">
        <v>7.58</v>
      </c>
      <c r="E122" s="7">
        <v>4774.22</v>
      </c>
      <c r="F122" s="7">
        <v>4698.81</v>
      </c>
      <c r="G122" s="7">
        <v>22.63</v>
      </c>
      <c r="H122" s="7">
        <v>4995.09</v>
      </c>
      <c r="I122" s="7">
        <v>4989.67</v>
      </c>
      <c r="J122" s="8">
        <v>3.5</v>
      </c>
      <c r="L122" s="7" t="s">
        <v>48</v>
      </c>
      <c r="M122" s="7">
        <v>3886.42</v>
      </c>
      <c r="N122" s="8">
        <v>3883.0</v>
      </c>
      <c r="O122" s="7">
        <v>4.85</v>
      </c>
      <c r="P122" s="7">
        <v>3772.02</v>
      </c>
      <c r="Q122" s="7">
        <v>3708.88</v>
      </c>
      <c r="R122" s="7">
        <v>37.15</v>
      </c>
      <c r="S122" s="7">
        <v>3906.43</v>
      </c>
      <c r="T122" s="8">
        <v>3903.7</v>
      </c>
      <c r="U122" s="7">
        <v>5.45</v>
      </c>
    </row>
    <row r="123">
      <c r="A123" s="7" t="s">
        <v>49</v>
      </c>
      <c r="B123" s="7">
        <v>6165.07</v>
      </c>
      <c r="C123" s="7">
        <v>6150.78</v>
      </c>
      <c r="D123" s="7">
        <v>8.88</v>
      </c>
      <c r="E123" s="7">
        <v>5846.71</v>
      </c>
      <c r="F123" s="8">
        <v>5799.2</v>
      </c>
      <c r="G123" s="7">
        <v>40.18</v>
      </c>
      <c r="H123" s="7">
        <v>6175.24</v>
      </c>
      <c r="I123" s="7">
        <v>6158.92</v>
      </c>
      <c r="J123" s="7">
        <v>9.23</v>
      </c>
      <c r="L123" s="7" t="s">
        <v>49</v>
      </c>
      <c r="M123" s="7">
        <v>3947.61</v>
      </c>
      <c r="N123" s="7">
        <v>3942.31</v>
      </c>
      <c r="O123" s="7">
        <v>7.27</v>
      </c>
      <c r="P123" s="7">
        <v>3778.58</v>
      </c>
      <c r="Q123" s="7">
        <v>3762.45</v>
      </c>
      <c r="R123" s="7">
        <v>14.57</v>
      </c>
      <c r="S123" s="7">
        <v>3941.28</v>
      </c>
      <c r="T123" s="7">
        <v>3939.77</v>
      </c>
      <c r="U123" s="7">
        <v>1.49</v>
      </c>
    </row>
    <row r="124">
      <c r="A124" s="7" t="s">
        <v>51</v>
      </c>
      <c r="B124" s="7">
        <v>5461.57</v>
      </c>
      <c r="C124" s="7">
        <v>5442.28</v>
      </c>
      <c r="D124" s="7">
        <v>18.44</v>
      </c>
      <c r="E124" s="7">
        <v>5174.22</v>
      </c>
      <c r="F124" s="7">
        <v>5126.08</v>
      </c>
      <c r="G124" s="7">
        <v>34.43</v>
      </c>
      <c r="H124" s="7">
        <v>5478.99</v>
      </c>
      <c r="I124" s="7">
        <v>5467.64</v>
      </c>
      <c r="J124" s="7">
        <v>10.32</v>
      </c>
      <c r="L124" s="7" t="s">
        <v>51</v>
      </c>
      <c r="M124" s="7">
        <v>3583.86</v>
      </c>
      <c r="N124" s="7">
        <v>3576.73</v>
      </c>
      <c r="O124" s="7">
        <v>11.18</v>
      </c>
      <c r="P124" s="7">
        <v>3433.71</v>
      </c>
      <c r="Q124" s="7">
        <v>3393.78</v>
      </c>
      <c r="R124" s="7">
        <v>24.78</v>
      </c>
      <c r="S124" s="7">
        <v>3609.85</v>
      </c>
      <c r="T124" s="7">
        <v>3605.48</v>
      </c>
      <c r="U124" s="7">
        <v>2.18</v>
      </c>
    </row>
    <row r="125">
      <c r="A125" s="9"/>
      <c r="B125" s="10">
        <f t="shared" ref="B125:J125" si="50">AVERAGE(B122:B124)</f>
        <v>5533.38</v>
      </c>
      <c r="C125" s="10">
        <f t="shared" si="50"/>
        <v>5518.616667</v>
      </c>
      <c r="D125" s="10">
        <f t="shared" si="50"/>
        <v>11.63333333</v>
      </c>
      <c r="E125" s="10">
        <f t="shared" si="50"/>
        <v>5265.05</v>
      </c>
      <c r="F125" s="10">
        <f t="shared" si="50"/>
        <v>5208.03</v>
      </c>
      <c r="G125" s="10">
        <f t="shared" si="50"/>
        <v>32.41333333</v>
      </c>
      <c r="H125" s="14">
        <f t="shared" si="50"/>
        <v>5549.773333</v>
      </c>
      <c r="I125" s="10">
        <f t="shared" si="50"/>
        <v>5538.743333</v>
      </c>
      <c r="J125" s="10">
        <f t="shared" si="50"/>
        <v>7.683333333</v>
      </c>
      <c r="L125" s="9"/>
      <c r="M125" s="10">
        <f t="shared" ref="M125:U125" si="51">AVERAGE(M122:M124)</f>
        <v>3805.963333</v>
      </c>
      <c r="N125" s="10">
        <f t="shared" si="51"/>
        <v>3800.68</v>
      </c>
      <c r="O125" s="10">
        <f t="shared" si="51"/>
        <v>7.766666667</v>
      </c>
      <c r="P125" s="10">
        <f t="shared" si="51"/>
        <v>3661.436667</v>
      </c>
      <c r="Q125" s="10">
        <f t="shared" si="51"/>
        <v>3621.703333</v>
      </c>
      <c r="R125" s="10">
        <f t="shared" si="51"/>
        <v>25.5</v>
      </c>
      <c r="S125" s="14">
        <f t="shared" si="51"/>
        <v>3819.186667</v>
      </c>
      <c r="T125" s="10">
        <f t="shared" si="51"/>
        <v>3816.316667</v>
      </c>
      <c r="U125" s="10">
        <f t="shared" si="51"/>
        <v>3.04</v>
      </c>
    </row>
    <row r="126">
      <c r="A126" s="7" t="s">
        <v>52</v>
      </c>
      <c r="B126" s="7">
        <v>8850.99</v>
      </c>
      <c r="C126" s="7">
        <v>8823.67</v>
      </c>
      <c r="D126" s="7">
        <v>18.51</v>
      </c>
      <c r="E126" s="7">
        <v>8735.88</v>
      </c>
      <c r="F126" s="8">
        <v>8628.3</v>
      </c>
      <c r="G126" s="7">
        <v>69.63</v>
      </c>
      <c r="H126" s="7">
        <v>8865.37</v>
      </c>
      <c r="I126" s="7">
        <v>8852.61</v>
      </c>
      <c r="J126" s="7">
        <v>19.43</v>
      </c>
      <c r="L126" s="7" t="s">
        <v>52</v>
      </c>
      <c r="M126" s="7">
        <v>5535.85</v>
      </c>
      <c r="N126" s="7">
        <v>5529.76</v>
      </c>
      <c r="O126" s="8">
        <v>3.5</v>
      </c>
      <c r="P126" s="7">
        <v>5469.45</v>
      </c>
      <c r="Q126" s="8">
        <v>5453.9</v>
      </c>
      <c r="R126" s="7">
        <v>11.46</v>
      </c>
      <c r="S126" s="7">
        <v>5528.24</v>
      </c>
      <c r="T126" s="7">
        <v>5518.42</v>
      </c>
      <c r="U126" s="7">
        <v>16.27</v>
      </c>
    </row>
    <row r="127">
      <c r="A127" s="7" t="s">
        <v>53</v>
      </c>
      <c r="B127" s="7">
        <v>7985.67</v>
      </c>
      <c r="C127" s="7">
        <v>7966.84</v>
      </c>
      <c r="D127" s="7">
        <v>18.13</v>
      </c>
      <c r="E127" s="7">
        <v>7841.95</v>
      </c>
      <c r="F127" s="7">
        <v>7777.52</v>
      </c>
      <c r="G127" s="7">
        <v>40.65</v>
      </c>
      <c r="H127" s="7">
        <v>8083.13</v>
      </c>
      <c r="I127" s="7">
        <v>8015.22</v>
      </c>
      <c r="J127" s="7">
        <v>38.91</v>
      </c>
      <c r="L127" s="7" t="s">
        <v>53</v>
      </c>
      <c r="M127" s="7">
        <v>5934.15</v>
      </c>
      <c r="N127" s="7">
        <v>5927.71</v>
      </c>
      <c r="O127" s="7">
        <v>4.23</v>
      </c>
      <c r="P127" s="7">
        <v>5842.12</v>
      </c>
      <c r="Q127" s="7">
        <v>5833.54</v>
      </c>
      <c r="R127" s="7">
        <v>7.44</v>
      </c>
      <c r="S127" s="7">
        <v>5900.03</v>
      </c>
      <c r="T127" s="7">
        <v>5896.37</v>
      </c>
      <c r="U127" s="7">
        <v>3.15</v>
      </c>
    </row>
    <row r="128">
      <c r="A128" s="7" t="s">
        <v>54</v>
      </c>
      <c r="B128" s="7">
        <v>9652.89</v>
      </c>
      <c r="C128" s="7">
        <v>9647.27</v>
      </c>
      <c r="D128" s="7">
        <v>8.85</v>
      </c>
      <c r="E128" s="7">
        <v>9554.73</v>
      </c>
      <c r="F128" s="7">
        <v>9506.66</v>
      </c>
      <c r="G128" s="7">
        <v>36.04</v>
      </c>
      <c r="H128" s="8">
        <v>9687.5</v>
      </c>
      <c r="I128" s="7">
        <v>9624.12</v>
      </c>
      <c r="J128" s="8">
        <v>61.7</v>
      </c>
      <c r="L128" s="7" t="s">
        <v>54</v>
      </c>
      <c r="M128" s="7">
        <v>6542.34</v>
      </c>
      <c r="N128" s="7">
        <v>6539.17</v>
      </c>
      <c r="O128" s="7">
        <v>1.99</v>
      </c>
      <c r="P128" s="7">
        <v>6464.16</v>
      </c>
      <c r="Q128" s="7">
        <v>6540.07</v>
      </c>
      <c r="R128" s="7">
        <v>12.27</v>
      </c>
      <c r="S128" s="7">
        <v>6533.35</v>
      </c>
      <c r="T128" s="7">
        <v>6533.34</v>
      </c>
      <c r="U128" s="7">
        <v>0.02</v>
      </c>
    </row>
    <row r="129">
      <c r="A129" s="9"/>
      <c r="B129" s="9">
        <f t="shared" ref="B129:J129" si="52">AVERAGE(B126:B128)</f>
        <v>8829.85</v>
      </c>
      <c r="C129" s="10">
        <f t="shared" si="52"/>
        <v>8812.593333</v>
      </c>
      <c r="D129" s="10">
        <f t="shared" si="52"/>
        <v>15.16333333</v>
      </c>
      <c r="E129" s="10">
        <f t="shared" si="52"/>
        <v>8710.853333</v>
      </c>
      <c r="F129" s="10">
        <f t="shared" si="52"/>
        <v>8637.493333</v>
      </c>
      <c r="G129" s="10">
        <f t="shared" si="52"/>
        <v>48.77333333</v>
      </c>
      <c r="H129" s="10">
        <f t="shared" si="52"/>
        <v>8878.666667</v>
      </c>
      <c r="I129" s="10">
        <f t="shared" si="52"/>
        <v>8830.65</v>
      </c>
      <c r="J129" s="10">
        <f t="shared" si="52"/>
        <v>40.01333333</v>
      </c>
      <c r="L129" s="9"/>
      <c r="M129" s="14">
        <f t="shared" ref="M129:U129" si="53">AVERAGE(M126:M128)</f>
        <v>6004.113333</v>
      </c>
      <c r="N129" s="10">
        <f t="shared" si="53"/>
        <v>5998.88</v>
      </c>
      <c r="O129" s="10">
        <f t="shared" si="53"/>
        <v>3.24</v>
      </c>
      <c r="P129" s="10">
        <f t="shared" si="53"/>
        <v>5925.243333</v>
      </c>
      <c r="Q129" s="10">
        <f t="shared" si="53"/>
        <v>5942.503333</v>
      </c>
      <c r="R129" s="10">
        <f t="shared" si="53"/>
        <v>10.39</v>
      </c>
      <c r="S129" s="10">
        <f t="shared" si="53"/>
        <v>5987.206667</v>
      </c>
      <c r="T129" s="10">
        <f t="shared" si="53"/>
        <v>5982.71</v>
      </c>
      <c r="U129" s="10">
        <f t="shared" si="53"/>
        <v>6.48</v>
      </c>
    </row>
    <row r="130">
      <c r="A130" s="7" t="s">
        <v>55</v>
      </c>
      <c r="B130" s="8">
        <v>12901.8</v>
      </c>
      <c r="C130" s="7">
        <v>12853.74</v>
      </c>
      <c r="D130" s="7">
        <v>47.81</v>
      </c>
      <c r="E130" s="8">
        <v>12381.6</v>
      </c>
      <c r="F130" s="8">
        <v>12551.9</v>
      </c>
      <c r="G130" s="7">
        <v>80.41</v>
      </c>
      <c r="H130" s="8">
        <v>12966.0</v>
      </c>
      <c r="I130" s="8">
        <v>12937.6</v>
      </c>
      <c r="J130" s="7">
        <v>41.89</v>
      </c>
      <c r="L130" s="7" t="s">
        <v>55</v>
      </c>
      <c r="M130" s="7">
        <v>8525.18</v>
      </c>
      <c r="N130" s="7">
        <v>8519.45</v>
      </c>
      <c r="O130" s="8">
        <v>8.3</v>
      </c>
      <c r="P130" s="7">
        <v>8270.06</v>
      </c>
      <c r="Q130" s="7">
        <v>8246.57</v>
      </c>
      <c r="R130" s="7">
        <v>24.47</v>
      </c>
      <c r="S130" s="7">
        <v>8708.24</v>
      </c>
      <c r="T130" s="8">
        <v>8690.1</v>
      </c>
      <c r="U130" s="7">
        <v>16.49</v>
      </c>
    </row>
    <row r="131">
      <c r="A131" s="7" t="s">
        <v>56</v>
      </c>
      <c r="B131" s="8">
        <v>13648.1</v>
      </c>
      <c r="C131" s="7">
        <v>13593.86</v>
      </c>
      <c r="D131" s="7">
        <v>31.46</v>
      </c>
      <c r="E131" s="8">
        <v>12728.5</v>
      </c>
      <c r="F131" s="7">
        <v>12695.24</v>
      </c>
      <c r="G131" s="7">
        <v>34.73</v>
      </c>
      <c r="H131" s="7">
        <v>13676.47</v>
      </c>
      <c r="I131" s="7">
        <v>13638.44</v>
      </c>
      <c r="J131" s="7">
        <v>14.43</v>
      </c>
      <c r="L131" s="7" t="s">
        <v>56</v>
      </c>
      <c r="M131" s="8">
        <v>9409.9</v>
      </c>
      <c r="N131" s="7">
        <v>9402.67</v>
      </c>
      <c r="O131" s="7">
        <v>7.03</v>
      </c>
      <c r="P131" s="7">
        <v>8904.93</v>
      </c>
      <c r="Q131" s="7">
        <v>8865.47</v>
      </c>
      <c r="R131" s="7">
        <v>26.94</v>
      </c>
      <c r="S131" s="7">
        <v>9449.68</v>
      </c>
      <c r="T131" s="8">
        <v>9447.5</v>
      </c>
      <c r="U131" s="7">
        <v>4.36</v>
      </c>
    </row>
    <row r="132">
      <c r="A132" s="7" t="s">
        <v>57</v>
      </c>
      <c r="B132" s="8">
        <v>14539.3</v>
      </c>
      <c r="C132" s="8">
        <v>14473.0</v>
      </c>
      <c r="D132" s="7">
        <v>37.93</v>
      </c>
      <c r="E132" s="8">
        <v>13797.8</v>
      </c>
      <c r="F132" s="7">
        <v>13690.36</v>
      </c>
      <c r="G132" s="7">
        <v>60.93</v>
      </c>
      <c r="H132" s="7">
        <v>14573.07</v>
      </c>
      <c r="I132" s="7">
        <v>14557.65</v>
      </c>
      <c r="J132" s="7">
        <v>15.39</v>
      </c>
      <c r="L132" s="7" t="s">
        <v>57</v>
      </c>
      <c r="M132" s="7">
        <v>9645.14</v>
      </c>
      <c r="N132" s="8">
        <v>9628.1</v>
      </c>
      <c r="O132" s="7">
        <v>11.29</v>
      </c>
      <c r="P132" s="7">
        <v>9169.31</v>
      </c>
      <c r="Q132" s="7">
        <v>3147.72</v>
      </c>
      <c r="R132" s="7">
        <v>21.91</v>
      </c>
      <c r="S132" s="7">
        <v>9705.17</v>
      </c>
      <c r="T132" s="7">
        <v>9695.03</v>
      </c>
      <c r="U132" s="7">
        <v>7.08</v>
      </c>
    </row>
    <row r="133">
      <c r="A133" s="9"/>
      <c r="B133" s="10">
        <f t="shared" ref="B133:J133" si="54">AVERAGE(B130:B132)</f>
        <v>13696.4</v>
      </c>
      <c r="C133" s="10">
        <f t="shared" si="54"/>
        <v>13640.2</v>
      </c>
      <c r="D133" s="10">
        <f t="shared" si="54"/>
        <v>39.06666667</v>
      </c>
      <c r="E133" s="10">
        <f t="shared" si="54"/>
        <v>12969.3</v>
      </c>
      <c r="F133" s="10">
        <f t="shared" si="54"/>
        <v>12979.16667</v>
      </c>
      <c r="G133" s="10">
        <f t="shared" si="54"/>
        <v>58.69</v>
      </c>
      <c r="H133" s="14">
        <f t="shared" si="54"/>
        <v>13738.51333</v>
      </c>
      <c r="I133" s="10">
        <f t="shared" si="54"/>
        <v>13711.23</v>
      </c>
      <c r="J133" s="10">
        <f t="shared" si="54"/>
        <v>23.90333333</v>
      </c>
      <c r="L133" s="9"/>
      <c r="M133" s="10">
        <f t="shared" ref="M133:U133" si="55">AVERAGE(M130:M132)</f>
        <v>9193.406667</v>
      </c>
      <c r="N133" s="10">
        <f t="shared" si="55"/>
        <v>9183.406667</v>
      </c>
      <c r="O133" s="10">
        <f t="shared" si="55"/>
        <v>8.873333333</v>
      </c>
      <c r="P133" s="10">
        <f t="shared" si="55"/>
        <v>8781.433333</v>
      </c>
      <c r="Q133" s="10">
        <f t="shared" si="55"/>
        <v>6753.253333</v>
      </c>
      <c r="R133" s="10">
        <f t="shared" si="55"/>
        <v>24.44</v>
      </c>
      <c r="S133" s="14">
        <f t="shared" si="55"/>
        <v>9287.696667</v>
      </c>
      <c r="T133" s="10">
        <f t="shared" si="55"/>
        <v>9277.543333</v>
      </c>
      <c r="U133" s="10">
        <f t="shared" si="55"/>
        <v>9.31</v>
      </c>
    </row>
    <row r="134">
      <c r="A134" s="7" t="s">
        <v>58</v>
      </c>
      <c r="B134" s="7">
        <v>9963.01</v>
      </c>
      <c r="C134" s="7">
        <v>9907.11</v>
      </c>
      <c r="D134" s="7">
        <v>40.49</v>
      </c>
      <c r="E134" s="7">
        <v>9209.93</v>
      </c>
      <c r="F134" s="7">
        <v>9180.53</v>
      </c>
      <c r="G134" s="7">
        <v>33.58</v>
      </c>
      <c r="H134" s="7">
        <v>10105.68</v>
      </c>
      <c r="I134" s="7">
        <v>10096.98</v>
      </c>
      <c r="J134" s="7">
        <v>9.01</v>
      </c>
      <c r="L134" s="7" t="s">
        <v>58</v>
      </c>
      <c r="M134" s="7">
        <v>7876.31</v>
      </c>
      <c r="N134" s="8">
        <v>7856.6</v>
      </c>
      <c r="O134" s="7">
        <v>11.78</v>
      </c>
      <c r="P134" s="7">
        <v>7398.13</v>
      </c>
      <c r="Q134" s="7">
        <v>7380.13</v>
      </c>
      <c r="R134" s="7">
        <v>11.02</v>
      </c>
      <c r="S134" s="7">
        <v>8004.19</v>
      </c>
      <c r="T134" s="7">
        <v>8001.68</v>
      </c>
      <c r="U134" s="7">
        <v>1.66</v>
      </c>
    </row>
    <row r="135">
      <c r="A135" s="7" t="s">
        <v>59</v>
      </c>
      <c r="B135" s="8">
        <v>12457.9</v>
      </c>
      <c r="C135" s="7">
        <v>12424.64</v>
      </c>
      <c r="D135" s="7">
        <v>23.91</v>
      </c>
      <c r="E135" s="8">
        <v>11400.6</v>
      </c>
      <c r="F135" s="7">
        <v>11382.14</v>
      </c>
      <c r="G135" s="7">
        <v>21.66</v>
      </c>
      <c r="H135" s="7">
        <v>12601.59</v>
      </c>
      <c r="I135" s="7">
        <v>12582.31</v>
      </c>
      <c r="J135" s="7">
        <v>24.28</v>
      </c>
      <c r="L135" s="7" t="s">
        <v>59</v>
      </c>
      <c r="M135" s="7">
        <v>8157.44</v>
      </c>
      <c r="N135" s="7">
        <v>8151.98</v>
      </c>
      <c r="O135" s="7">
        <v>5.27</v>
      </c>
      <c r="P135" s="7">
        <v>7647.09</v>
      </c>
      <c r="Q135" s="7">
        <v>7562.01</v>
      </c>
      <c r="R135" s="7">
        <v>54.35</v>
      </c>
      <c r="S135" s="7">
        <v>8294.65</v>
      </c>
      <c r="T135" s="7">
        <v>8268.13</v>
      </c>
      <c r="U135" s="7">
        <v>16.31</v>
      </c>
    </row>
    <row r="136">
      <c r="A136" s="7" t="s">
        <v>60</v>
      </c>
      <c r="B136" s="8">
        <v>11959.3</v>
      </c>
      <c r="C136" s="7">
        <v>11852.76</v>
      </c>
      <c r="D136" s="7">
        <v>72.98</v>
      </c>
      <c r="E136" s="8">
        <v>11010.7</v>
      </c>
      <c r="F136" s="7">
        <v>10968.68</v>
      </c>
      <c r="G136" s="7">
        <v>51.98</v>
      </c>
      <c r="H136" s="7">
        <v>12023.92</v>
      </c>
      <c r="I136" s="8">
        <v>12015.3</v>
      </c>
      <c r="J136" s="7">
        <v>10.74</v>
      </c>
      <c r="L136" s="7" t="s">
        <v>60</v>
      </c>
      <c r="M136" s="7">
        <v>7689.02</v>
      </c>
      <c r="N136" s="7">
        <v>7640.98</v>
      </c>
      <c r="O136" s="7">
        <v>39.39</v>
      </c>
      <c r="P136" s="7">
        <v>7083.96</v>
      </c>
      <c r="Q136" s="7">
        <v>7048.77</v>
      </c>
      <c r="R136" s="8">
        <v>21.5</v>
      </c>
      <c r="S136" s="7">
        <v>7730.05</v>
      </c>
      <c r="T136" s="7">
        <v>7705.26</v>
      </c>
      <c r="U136" s="7">
        <v>13.08</v>
      </c>
    </row>
    <row r="137">
      <c r="A137" s="9"/>
      <c r="B137" s="9">
        <f t="shared" ref="B137:J137" si="56">AVERAGE(B134:B136)</f>
        <v>11460.07</v>
      </c>
      <c r="C137" s="10">
        <f t="shared" si="56"/>
        <v>11394.83667</v>
      </c>
      <c r="D137" s="10">
        <f t="shared" si="56"/>
        <v>45.79333333</v>
      </c>
      <c r="E137" s="10">
        <f t="shared" si="56"/>
        <v>10540.41</v>
      </c>
      <c r="F137" s="10">
        <f t="shared" si="56"/>
        <v>10510.45</v>
      </c>
      <c r="G137" s="10">
        <f t="shared" si="56"/>
        <v>35.74</v>
      </c>
      <c r="H137" s="14">
        <f t="shared" si="56"/>
        <v>11577.06333</v>
      </c>
      <c r="I137" s="10">
        <f t="shared" si="56"/>
        <v>11564.86333</v>
      </c>
      <c r="J137" s="10">
        <f t="shared" si="56"/>
        <v>14.67666667</v>
      </c>
      <c r="L137" s="9"/>
      <c r="M137" s="9">
        <f t="shared" ref="M137:U137" si="57">AVERAGE(M134:M136)</f>
        <v>7907.59</v>
      </c>
      <c r="N137" s="10">
        <f t="shared" si="57"/>
        <v>7883.186667</v>
      </c>
      <c r="O137" s="10">
        <f t="shared" si="57"/>
        <v>18.81333333</v>
      </c>
      <c r="P137" s="10">
        <f t="shared" si="57"/>
        <v>7376.393333</v>
      </c>
      <c r="Q137" s="10">
        <f t="shared" si="57"/>
        <v>7330.303333</v>
      </c>
      <c r="R137" s="10">
        <f t="shared" si="57"/>
        <v>28.95666667</v>
      </c>
      <c r="S137" s="14">
        <f t="shared" si="57"/>
        <v>8009.63</v>
      </c>
      <c r="T137" s="10">
        <f t="shared" si="57"/>
        <v>7991.69</v>
      </c>
      <c r="U137" s="10">
        <f t="shared" si="57"/>
        <v>10.35</v>
      </c>
    </row>
    <row r="138">
      <c r="A138" s="7" t="s">
        <v>61</v>
      </c>
      <c r="B138" s="8">
        <v>13821.8</v>
      </c>
      <c r="C138" s="7">
        <v>13821.36</v>
      </c>
      <c r="D138" s="7">
        <v>6.89</v>
      </c>
      <c r="E138" s="8">
        <v>13363.2</v>
      </c>
      <c r="F138" s="7">
        <v>13312.14</v>
      </c>
      <c r="G138" s="7">
        <v>43.54</v>
      </c>
      <c r="H138" s="7">
        <v>13945.55</v>
      </c>
      <c r="I138" s="7">
        <v>13925.61</v>
      </c>
      <c r="J138" s="7">
        <v>19.18</v>
      </c>
      <c r="L138" s="7" t="s">
        <v>61</v>
      </c>
      <c r="M138" s="7">
        <v>8844.78</v>
      </c>
      <c r="N138" s="7">
        <v>8832.93</v>
      </c>
      <c r="O138" s="7">
        <v>9.25</v>
      </c>
      <c r="P138" s="7">
        <v>8504.47</v>
      </c>
      <c r="Q138" s="7">
        <v>8469.84</v>
      </c>
      <c r="R138" s="7">
        <v>30.78</v>
      </c>
      <c r="S138" s="7">
        <v>8943.05</v>
      </c>
      <c r="T138" s="7">
        <v>8939.69</v>
      </c>
      <c r="U138" s="7">
        <v>2.25</v>
      </c>
    </row>
    <row r="139">
      <c r="A139" s="7" t="s">
        <v>62</v>
      </c>
      <c r="B139" s="8">
        <v>12641.2</v>
      </c>
      <c r="C139" s="7">
        <v>12602.34</v>
      </c>
      <c r="D139" s="7">
        <v>25.32</v>
      </c>
      <c r="E139" s="8">
        <v>12211.1</v>
      </c>
      <c r="F139" s="7">
        <v>12137.68</v>
      </c>
      <c r="G139" s="7">
        <v>57.63</v>
      </c>
      <c r="H139" s="8">
        <v>12888.3</v>
      </c>
      <c r="I139" s="7">
        <v>12804.81</v>
      </c>
      <c r="J139" s="7">
        <v>88.75</v>
      </c>
      <c r="L139" s="7" t="s">
        <v>62</v>
      </c>
      <c r="M139" s="7">
        <v>9210.14</v>
      </c>
      <c r="N139" s="7">
        <v>9199.52</v>
      </c>
      <c r="O139" s="7">
        <v>10.44</v>
      </c>
      <c r="P139" s="7">
        <v>8900.21</v>
      </c>
      <c r="Q139" s="7">
        <v>8811.25</v>
      </c>
      <c r="R139" s="7">
        <v>59.28</v>
      </c>
      <c r="S139" s="7">
        <v>9284.59</v>
      </c>
      <c r="T139" s="8">
        <v>9275.0</v>
      </c>
      <c r="U139" s="7">
        <v>13.51</v>
      </c>
    </row>
    <row r="140">
      <c r="A140" s="7" t="s">
        <v>63</v>
      </c>
      <c r="B140" s="8">
        <v>14400.9</v>
      </c>
      <c r="C140" s="7">
        <v>14354.18</v>
      </c>
      <c r="D140" s="7">
        <v>31.53</v>
      </c>
      <c r="E140" s="8">
        <v>13971.8</v>
      </c>
      <c r="F140" s="7">
        <v>13882.32</v>
      </c>
      <c r="G140" s="7">
        <v>60.65</v>
      </c>
      <c r="H140" s="7">
        <v>14565.25</v>
      </c>
      <c r="I140" s="7">
        <v>14513.22</v>
      </c>
      <c r="J140" s="7">
        <v>39.95</v>
      </c>
      <c r="L140" s="7" t="s">
        <v>63</v>
      </c>
      <c r="M140" s="7">
        <v>9925.88</v>
      </c>
      <c r="N140" s="7">
        <v>9921.57</v>
      </c>
      <c r="O140" s="7">
        <v>4.51</v>
      </c>
      <c r="P140" s="8">
        <v>9570.7</v>
      </c>
      <c r="Q140" s="8">
        <v>9549.3</v>
      </c>
      <c r="R140" s="7">
        <v>24.12</v>
      </c>
      <c r="S140" s="7">
        <v>10052.13</v>
      </c>
      <c r="T140" s="7">
        <v>10014.29</v>
      </c>
      <c r="U140" s="7">
        <v>26.59</v>
      </c>
    </row>
    <row r="141">
      <c r="A141" s="2"/>
      <c r="B141" s="10">
        <f t="shared" ref="B141:J141" si="58">AVERAGE(B138:B140)</f>
        <v>13621.3</v>
      </c>
      <c r="C141" s="10">
        <f t="shared" si="58"/>
        <v>13592.62667</v>
      </c>
      <c r="D141" s="10">
        <f t="shared" si="58"/>
        <v>21.24666667</v>
      </c>
      <c r="E141" s="10">
        <f t="shared" si="58"/>
        <v>13182.03333</v>
      </c>
      <c r="F141" s="10">
        <f t="shared" si="58"/>
        <v>13110.71333</v>
      </c>
      <c r="G141" s="10">
        <f t="shared" si="58"/>
        <v>53.94</v>
      </c>
      <c r="H141" s="14">
        <f t="shared" si="58"/>
        <v>13799.7</v>
      </c>
      <c r="I141" s="10">
        <f t="shared" si="58"/>
        <v>13747.88</v>
      </c>
      <c r="J141" s="10">
        <f t="shared" si="58"/>
        <v>49.29333333</v>
      </c>
      <c r="L141" s="2"/>
      <c r="M141" s="10">
        <f t="shared" ref="M141:U141" si="59">AVERAGE(M138:M140)</f>
        <v>9326.933333</v>
      </c>
      <c r="N141" s="10">
        <f t="shared" si="59"/>
        <v>9318.006667</v>
      </c>
      <c r="O141" s="10">
        <f t="shared" si="59"/>
        <v>8.066666667</v>
      </c>
      <c r="P141" s="10">
        <f t="shared" si="59"/>
        <v>8991.793333</v>
      </c>
      <c r="Q141" s="10">
        <f t="shared" si="59"/>
        <v>8943.463333</v>
      </c>
      <c r="R141" s="10">
        <f t="shared" si="59"/>
        <v>38.06</v>
      </c>
      <c r="S141" s="14">
        <f t="shared" si="59"/>
        <v>9426.59</v>
      </c>
      <c r="T141" s="10">
        <f t="shared" si="59"/>
        <v>9409.66</v>
      </c>
      <c r="U141" s="10">
        <f t="shared" si="59"/>
        <v>14.11666667</v>
      </c>
    </row>
  </sheetData>
  <mergeCells count="35">
    <mergeCell ref="A1:J1"/>
    <mergeCell ref="L1:U1"/>
    <mergeCell ref="B2:D2"/>
    <mergeCell ref="E2:G2"/>
    <mergeCell ref="M2:O2"/>
    <mergeCell ref="P2:R2"/>
    <mergeCell ref="S2:U2"/>
    <mergeCell ref="P43:R43"/>
    <mergeCell ref="S43:U43"/>
    <mergeCell ref="H2:J2"/>
    <mergeCell ref="A41:J41"/>
    <mergeCell ref="B42:D42"/>
    <mergeCell ref="E42:G42"/>
    <mergeCell ref="H42:J42"/>
    <mergeCell ref="L42:U42"/>
    <mergeCell ref="M43:O43"/>
    <mergeCell ref="P87:R87"/>
    <mergeCell ref="S87:U87"/>
    <mergeCell ref="A85:J85"/>
    <mergeCell ref="L85:U85"/>
    <mergeCell ref="B86:J86"/>
    <mergeCell ref="B87:D87"/>
    <mergeCell ref="E87:G87"/>
    <mergeCell ref="H87:J87"/>
    <mergeCell ref="M87:O87"/>
    <mergeCell ref="M116:O116"/>
    <mergeCell ref="P116:R116"/>
    <mergeCell ref="A114:J114"/>
    <mergeCell ref="L114:U114"/>
    <mergeCell ref="B115:J115"/>
    <mergeCell ref="M115:U115"/>
    <mergeCell ref="B116:D116"/>
    <mergeCell ref="E116:G116"/>
    <mergeCell ref="H116:J116"/>
    <mergeCell ref="S116:U116"/>
  </mergeCells>
  <drawing r:id="rId1"/>
</worksheet>
</file>